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📈 Monthly" sheetId="2" state="visible" r:id="rId2"/>
    <sheet xmlns:r="http://schemas.openxmlformats.org/officeDocument/2006/relationships" name="🗺️ Regional" sheetId="3" state="visible" r:id="rId3"/>
    <sheet xmlns:r="http://schemas.openxmlformats.org/officeDocument/2006/relationships" name="📦 Products" sheetId="4" state="visible" r:id="rId4"/>
    <sheet xmlns:r="http://schemas.openxmlformats.org/officeDocument/2006/relationships" name="🏅 Leaderboard" sheetId="5" state="visible" r:id="rId5"/>
    <sheet xmlns:r="http://schemas.openxmlformats.org/officeDocument/2006/relationships" name="📋 Raw Data" sheetId="6" state="visible" r:id="rId6"/>
  </sheets>
  <definedNames>
    <definedName name="_xlnm._FilterDatabase" localSheetId="5" hidden="1">'📋 Raw Data'!$A$1:$G$255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$#,##0"/>
    <numFmt numFmtId="165" formatCode="+$#,##0;-$#,##0"/>
    <numFmt numFmtId="166" formatCode="$#,##0.00"/>
    <numFmt numFmtId="167" formatCode="0.0%"/>
    <numFmt numFmtId="168" formatCode="+0.0%;-0.0%"/>
    <numFmt numFmtId="169" formatCode="0.0"/>
    <numFmt numFmtId="170" formatCode="yyyy-mm-dd"/>
    <numFmt numFmtId="171" formatCode="DD-MMM-YYYY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b val="1"/>
      <color rgb="0000C4B4"/>
      <sz val="9"/>
    </font>
    <font>
      <name val="Arial"/>
      <b val="1"/>
      <color rgb="001E2A3A"/>
      <sz val="22"/>
    </font>
    <font>
      <name val="Arial"/>
      <color rgb="007A8FA6"/>
      <sz val="8"/>
    </font>
    <font>
      <name val="Arial"/>
      <b val="1"/>
      <color rgb="00F5A623"/>
      <sz val="9"/>
    </font>
    <font>
      <name val="Arial"/>
      <b val="1"/>
      <color rgb="005B8FF9"/>
      <sz val="9"/>
    </font>
    <font>
      <name val="Arial"/>
      <b val="1"/>
      <color rgb="00E85D75"/>
      <sz val="9"/>
    </font>
    <font>
      <name val="Arial"/>
      <b val="1"/>
      <color rgb="00FFFFFF"/>
      <sz val="9"/>
    </font>
    <font>
      <name val="Arial"/>
      <color rgb="001E2A3A"/>
      <sz val="9"/>
    </font>
    <font>
      <name val="Arial"/>
      <b val="1"/>
      <color rgb="00FFFFFF"/>
      <sz val="18"/>
    </font>
    <font>
      <name val="Arial"/>
      <b val="1"/>
      <color rgb="00FFFFFF"/>
      <sz val="10"/>
    </font>
    <font>
      <name val="Arial"/>
      <color rgb="001E2A3A"/>
      <sz val="10"/>
    </font>
    <font>
      <name val="Arial"/>
      <b val="1"/>
      <color rgb="0000C4B4"/>
      <sz val="10"/>
    </font>
    <font>
      <name val="Arial"/>
      <b val="1"/>
      <color rgb="001E2A3A"/>
      <sz val="10"/>
    </font>
    <font>
      <name val="Arial"/>
      <b val="1"/>
      <color rgb="00F5A623"/>
      <sz val="10"/>
    </font>
  </fonts>
  <fills count="9">
    <fill>
      <patternFill/>
    </fill>
    <fill>
      <patternFill patternType="gray125"/>
    </fill>
    <fill>
      <patternFill patternType="solid">
        <fgColor rgb="001E2A3A"/>
      </patternFill>
    </fill>
    <fill>
      <patternFill patternType="solid">
        <fgColor rgb="00243447"/>
      </patternFill>
    </fill>
    <fill>
      <patternFill patternType="solid">
        <fgColor rgb="00F5F9FF"/>
      </patternFill>
    </fill>
    <fill>
      <patternFill patternType="solid">
        <fgColor rgb="002E4057"/>
      </patternFill>
    </fill>
    <fill>
      <patternFill patternType="solid">
        <fgColor rgb="00EDF2F9"/>
      </patternFill>
    </fill>
    <fill>
      <patternFill patternType="solid">
        <fgColor rgb="00FFFFFF"/>
      </patternFill>
    </fill>
    <fill>
      <patternFill patternType="solid">
        <fgColor rgb="00FFF9E6"/>
      </patternFill>
    </fill>
  </fills>
  <borders count="11">
    <border>
      <left/>
      <right/>
      <top/>
      <bottom/>
      <diagonal/>
    </border>
    <border>
      <left style="thin">
        <color rgb="00C5D3E0"/>
      </left>
      <right style="thin">
        <color rgb="00C5D3E0"/>
      </right>
      <top style="thin">
        <color rgb="00C5D3E0"/>
      </top>
      <bottom style="thin">
        <color rgb="00C5D3E0"/>
      </bottom>
    </border>
    <border>
      <left/>
      <right/>
      <top style="thin">
        <color rgb="00C5D3E0"/>
      </top>
      <bottom/>
      <diagonal/>
    </border>
    <border>
      <left style="thin">
        <color rgb="00C5D3E0"/>
      </left>
      <right/>
      <top/>
      <bottom/>
      <diagonal/>
    </border>
    <border>
      <left/>
      <right style="thin">
        <color rgb="00C5D3E0"/>
      </right>
      <top style="thin">
        <color rgb="00C5D3E0"/>
      </top>
      <bottom/>
      <diagonal/>
    </border>
    <border>
      <left/>
      <right style="thin">
        <color rgb="00C5D3E0"/>
      </right>
      <top/>
      <bottom/>
      <diagonal/>
    </border>
    <border>
      <left style="thin">
        <color rgb="00C5D3E0"/>
      </left>
      <right/>
      <top/>
      <bottom style="thin">
        <color rgb="00C5D3E0"/>
      </bottom>
      <diagonal/>
    </border>
    <border>
      <left/>
      <right/>
      <top/>
      <bottom style="thin">
        <color rgb="00C5D3E0"/>
      </bottom>
      <diagonal/>
    </border>
    <border>
      <left/>
      <right style="thin">
        <color rgb="00C5D3E0"/>
      </right>
      <top/>
      <bottom style="thin">
        <color rgb="00C5D3E0"/>
      </bottom>
      <diagonal/>
    </border>
    <border>
      <left/>
      <right/>
      <top style="thin">
        <color rgb="00C5D3E0"/>
      </top>
      <bottom style="thin">
        <color rgb="00C5D3E0"/>
      </bottom>
      <diagonal/>
    </border>
    <border>
      <left/>
      <right style="thin">
        <color rgb="00C5D3E0"/>
      </right>
      <top style="thin">
        <color rgb="00C5D3E0"/>
      </top>
      <bottom style="thin">
        <color rgb="00C5D3E0"/>
      </bottom>
      <diagonal/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4" fontId="3" fillId="4" borderId="1" applyAlignment="1" pivotButton="0" quotePrefix="0" xfId="0">
      <alignment horizontal="center" vertical="center" wrapText="1"/>
    </xf>
    <xf numFmtId="165" fontId="3" fillId="4" borderId="1" applyAlignment="1" pivotButton="0" quotePrefix="0" xfId="0">
      <alignment horizontal="center" vertical="center" wrapText="1"/>
    </xf>
    <xf numFmtId="3" fontId="3" fillId="4" borderId="1" applyAlignment="1" pivotButton="0" quotePrefix="0" xfId="0">
      <alignment horizontal="center" vertical="center" wrapText="1"/>
    </xf>
    <xf numFmtId="166" fontId="3" fillId="4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8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164" fontId="9" fillId="6" borderId="1" applyAlignment="1" pivotButton="0" quotePrefix="0" xfId="0">
      <alignment horizontal="center" vertical="center" wrapText="1"/>
    </xf>
    <xf numFmtId="3" fontId="9" fillId="6" borderId="1" applyAlignment="1" pivotButton="0" quotePrefix="0" xfId="0">
      <alignment horizontal="center" vertical="center" wrapText="1"/>
    </xf>
    <xf numFmtId="167" fontId="9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164" fontId="9" fillId="7" borderId="1" applyAlignment="1" pivotButton="0" quotePrefix="0" xfId="0">
      <alignment horizontal="center" vertical="center" wrapText="1"/>
    </xf>
    <xf numFmtId="3" fontId="9" fillId="7" borderId="1" applyAlignment="1" pivotButton="0" quotePrefix="0" xfId="0">
      <alignment horizontal="center" vertical="center" wrapText="1"/>
    </xf>
    <xf numFmtId="167" fontId="9" fillId="7" borderId="1" applyAlignment="1" pivotButton="0" quotePrefix="0" xfId="0">
      <alignment horizontal="center" vertical="center" wrapText="1"/>
    </xf>
    <xf numFmtId="164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center" vertical="center" wrapText="1"/>
    </xf>
    <xf numFmtId="167" fontId="2" fillId="2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164" fontId="12" fillId="6" borderId="1" applyAlignment="1" pivotButton="0" quotePrefix="0" xfId="0">
      <alignment horizontal="center" vertical="center" wrapText="1"/>
    </xf>
    <xf numFmtId="3" fontId="12" fillId="6" borderId="1" applyAlignment="1" pivotButton="0" quotePrefix="0" xfId="0">
      <alignment horizontal="center" vertical="center" wrapText="1"/>
    </xf>
    <xf numFmtId="165" fontId="12" fillId="6" borderId="1" applyAlignment="1" pivotButton="0" quotePrefix="0" xfId="0">
      <alignment horizontal="center" vertical="center" wrapText="1"/>
    </xf>
    <xf numFmtId="167" fontId="12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164" fontId="12" fillId="7" borderId="1" applyAlignment="1" pivotButton="0" quotePrefix="0" xfId="0">
      <alignment horizontal="center" vertical="center" wrapText="1"/>
    </xf>
    <xf numFmtId="3" fontId="12" fillId="7" borderId="1" applyAlignment="1" pivotButton="0" quotePrefix="0" xfId="0">
      <alignment horizontal="center" vertical="center" wrapText="1"/>
    </xf>
    <xf numFmtId="165" fontId="12" fillId="7" borderId="1" applyAlignment="1" pivotButton="0" quotePrefix="0" xfId="0">
      <alignment horizontal="center" vertical="center" wrapText="1"/>
    </xf>
    <xf numFmtId="167" fontId="12" fillId="7" borderId="1" applyAlignment="1" pivotButton="0" quotePrefix="0" xfId="0">
      <alignment horizontal="center" vertical="center" wrapText="1"/>
    </xf>
    <xf numFmtId="168" fontId="12" fillId="7" borderId="1" applyAlignment="1" pivotButton="0" quotePrefix="0" xfId="0">
      <alignment horizontal="center" vertical="center" wrapText="1"/>
    </xf>
    <xf numFmtId="168" fontId="12" fillId="6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 wrapText="1"/>
    </xf>
    <xf numFmtId="164" fontId="13" fillId="2" borderId="1" applyAlignment="1" pivotButton="0" quotePrefix="0" xfId="0">
      <alignment horizontal="center" vertical="center" wrapText="1"/>
    </xf>
    <xf numFmtId="3" fontId="13" fillId="2" borderId="1" applyAlignment="1" pivotButton="0" quotePrefix="0" xfId="0">
      <alignment horizontal="center" vertical="center" wrapText="1"/>
    </xf>
    <xf numFmtId="165" fontId="13" fillId="2" borderId="1" applyAlignment="1" pivotButton="0" quotePrefix="0" xfId="0">
      <alignment horizontal="center" vertical="center" wrapText="1"/>
    </xf>
    <xf numFmtId="167" fontId="13" fillId="2" borderId="1" applyAlignment="1" pivotButton="0" quotePrefix="0" xfId="0">
      <alignment horizontal="center" vertical="center" wrapText="1"/>
    </xf>
    <xf numFmtId="168" fontId="13" fillId="2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166" fontId="12" fillId="6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166" fontId="12" fillId="7" borderId="1" applyAlignment="1" pivotButton="0" quotePrefix="0" xfId="0">
      <alignment horizontal="center" vertical="center" wrapText="1"/>
    </xf>
    <xf numFmtId="166" fontId="13" fillId="2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center" vertical="center" wrapText="1"/>
    </xf>
    <xf numFmtId="164" fontId="15" fillId="8" borderId="1" applyAlignment="1" pivotButton="0" quotePrefix="0" xfId="0">
      <alignment horizontal="center" vertical="center" wrapText="1"/>
    </xf>
    <xf numFmtId="9" fontId="15" fillId="8" borderId="1" applyAlignment="1" pivotButton="0" quotePrefix="0" xfId="0">
      <alignment horizontal="center" vertical="center" wrapText="1"/>
    </xf>
    <xf numFmtId="3" fontId="15" fillId="8" borderId="1" applyAlignment="1" pivotButton="0" quotePrefix="0" xfId="0">
      <alignment horizontal="center" vertical="center" wrapText="1"/>
    </xf>
    <xf numFmtId="169" fontId="15" fillId="8" borderId="1" applyAlignment="1" pivotButton="0" quotePrefix="0" xfId="0">
      <alignment horizontal="center" vertical="center" wrapText="1"/>
    </xf>
    <xf numFmtId="9" fontId="12" fillId="7" borderId="1" applyAlignment="1" pivotButton="0" quotePrefix="0" xfId="0">
      <alignment horizontal="center" vertical="center" wrapText="1"/>
    </xf>
    <xf numFmtId="169" fontId="12" fillId="7" borderId="1" applyAlignment="1" pivotButton="0" quotePrefix="0" xfId="0">
      <alignment horizontal="center" vertical="center" wrapText="1"/>
    </xf>
    <xf numFmtId="9" fontId="12" fillId="6" borderId="1" applyAlignment="1" pivotButton="0" quotePrefix="0" xfId="0">
      <alignment horizontal="center" vertical="center" wrapText="1"/>
    </xf>
    <xf numFmtId="169" fontId="12" fillId="6" borderId="1" applyAlignment="1" pivotButton="0" quotePrefix="0" xfId="0">
      <alignment horizontal="center" vertical="center" wrapText="1"/>
    </xf>
    <xf numFmtId="9" fontId="13" fillId="2" borderId="1" applyAlignment="1" pivotButton="0" quotePrefix="0" xfId="0">
      <alignment horizontal="center" vertical="center" wrapText="1"/>
    </xf>
    <xf numFmtId="169" fontId="13" fillId="2" borderId="1" applyAlignment="1" pivotButton="0" quotePrefix="0" xfId="0">
      <alignment horizontal="center" vertical="center" wrapText="1"/>
    </xf>
    <xf numFmtId="171" fontId="9" fillId="6" borderId="1" applyAlignment="1" pivotButton="0" quotePrefix="0" xfId="0">
      <alignment horizontal="center" vertical="center" wrapText="1"/>
    </xf>
    <xf numFmtId="9" fontId="9" fillId="6" borderId="1" applyAlignment="1" pivotButton="0" quotePrefix="0" xfId="0">
      <alignment horizontal="center" vertical="center" wrapText="1"/>
    </xf>
    <xf numFmtId="171" fontId="9" fillId="7" borderId="1" applyAlignment="1" pivotButton="0" quotePrefix="0" xfId="0">
      <alignment horizontal="center" vertical="center" wrapText="1"/>
    </xf>
    <xf numFmtId="9" fontId="9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vs Target 2024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'📈 Monthly'!C4</f>
            </strRef>
          </tx>
          <spPr>
            <a:solidFill xmlns:a="http://schemas.openxmlformats.org/drawingml/2006/main">
              <a:srgbClr val="5B8FF9"/>
            </a:solidFill>
            <a:ln xmlns:a="http://schemas.openxmlformats.org/drawingml/2006/main">
              <a:prstDash val="solid"/>
            </a:ln>
          </spPr>
          <cat>
            <numRef>
              <f>'📈 Monthly'!$B$5:$B$16</f>
            </numRef>
          </cat>
          <val>
            <numRef>
              <f>'📈 Monthly'!$C$5:$C$16</f>
            </numRef>
          </val>
        </ser>
        <ser>
          <idx val="1"/>
          <order val="1"/>
          <tx>
            <strRef>
              <f>'📈 Monthly'!D4</f>
            </strRef>
          </tx>
          <spPr>
            <a:solidFill xmlns:a="http://schemas.openxmlformats.org/drawingml/2006/main">
              <a:srgbClr val="F5A623"/>
            </a:solidFill>
            <a:ln xmlns:a="http://schemas.openxmlformats.org/drawingml/2006/main">
              <a:prstDash val="solid"/>
            </a:ln>
          </spPr>
          <cat>
            <numRef>
              <f>'📈 Monthly'!$B$5:$B$16</f>
            </numRef>
          </cat>
          <val>
            <numRef>
              <f>'📈 Monthly'!$D$5:$D$16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Month-over-Month Revenue Growth %</a:t>
            </a:r>
          </a:p>
        </rich>
      </tx>
    </title>
    <plotArea>
      <lineChart>
        <grouping val="standard"/>
        <ser>
          <idx val="0"/>
          <order val="0"/>
          <tx>
            <strRef>
              <f>'📈 Monthly'!H4</f>
            </strRef>
          </tx>
          <spPr>
            <a:ln xmlns:a="http://schemas.openxmlformats.org/drawingml/2006/main" w="25000">
              <a:solidFill>
                <a:srgbClr val="00C4B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Monthly'!$B$5:$B$16</f>
            </numRef>
          </cat>
          <val>
            <numRef>
              <f>'📈 Monthly'!$H$5:$H$16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Growth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 2024</a:t>
            </a:r>
          </a:p>
        </rich>
      </tx>
    </title>
    <plotArea>
      <pieChart>
        <varyColors val="1"/>
        <ser>
          <idx val="0"/>
          <order val="0"/>
          <tx>
            <strRef>
              <f>'🗺️ Regional'!C4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'🗺️ Regional'!$B$5:$B$8</f>
            </numRef>
          </cat>
          <val>
            <numRef>
              <f>'🗺️ Regional'!$C$5:$C$8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Units Sold by Region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'🗺️ Regional'!D4</f>
            </strRef>
          </tx>
          <spPr>
            <a:solidFill xmlns:a="http://schemas.openxmlformats.org/drawingml/2006/main">
              <a:srgbClr val="5B8FF9"/>
            </a:solidFill>
            <a:ln xmlns:a="http://schemas.openxmlformats.org/drawingml/2006/main">
              <a:prstDash val="solid"/>
            </a:ln>
          </spPr>
          <cat>
            <numRef>
              <f>'🗺️ Regional'!$B$5:$B$8</f>
            </numRef>
          </cat>
          <val>
            <numRef>
              <f>'🗺️ Regional'!$D$5:$D$8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Product Revenue 2024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'📦 Products'!C4</f>
            </strRef>
          </tx>
          <spPr>
            <a:solidFill xmlns:a="http://schemas.openxmlformats.org/drawingml/2006/main">
              <a:srgbClr val="F5A623"/>
            </a:solidFill>
            <a:ln xmlns:a="http://schemas.openxmlformats.org/drawingml/2006/main">
              <a:prstDash val="solid"/>
            </a:ln>
          </spPr>
          <cat>
            <numRef>
              <f>'📦 Products'!$B$5:$B$9</f>
            </numRef>
          </cat>
          <val>
            <numRef>
              <f>'📦 Products'!$C$5:$C$9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Product Gross Margin %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'📦 Products'!D4</f>
            </strRef>
          </tx>
          <spPr>
            <a:solidFill xmlns:a="http://schemas.openxmlformats.org/drawingml/2006/main">
              <a:srgbClr val="00C4B4"/>
            </a:solidFill>
            <a:ln xmlns:a="http://schemas.openxmlformats.org/drawingml/2006/main">
              <a:prstDash val="solid"/>
            </a:ln>
          </spPr>
          <cat>
            <numRef>
              <f>'📦 Products'!$B$5:$B$9</f>
            </numRef>
          </cat>
          <val>
            <numRef>
              <f>'📦 Products'!$D$5:$D$9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Margin %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Rep Revenue Ranking 2024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'🏅 Leaderboard'!C4</f>
            </strRef>
          </tx>
          <spPr>
            <a:solidFill xmlns:a="http://schemas.openxmlformats.org/drawingml/2006/main">
              <a:srgbClr val="F5A623"/>
            </a:solidFill>
            <a:ln xmlns:a="http://schemas.openxmlformats.org/drawingml/2006/main">
              <a:prstDash val="solid"/>
            </a:ln>
          </spPr>
          <cat>
            <numRef>
              <f>'🏅 Leaderboard'!$B$5:$B$12</f>
            </numRef>
          </cat>
          <val>
            <numRef>
              <f>'🏅 Leaderboard'!$C$5:$C$12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18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18</row>
      <rowOff>0</rowOff>
    </from>
    <ext cx="792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10</row>
      <rowOff>0</rowOff>
    </from>
    <ext cx="576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10</row>
      <rowOff>0</rowOff>
    </from>
    <ext cx="64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11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11</row>
      <rowOff>0</rowOff>
    </from>
    <ext cx="64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14</row>
      <rowOff>0</rowOff>
    </from>
    <ext cx="792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tabColor rgb="0000C4B4"/>
    <outlinePr summaryBelow="1" summaryRight="1"/>
    <pageSetUpPr/>
  </sheetPr>
  <dimension ref="B2:N27"/>
  <sheetViews>
    <sheetView showGridLines="0" workbookViewId="0">
      <selection activeCell="A1" sqref="A1"/>
    </sheetView>
  </sheetViews>
  <sheetFormatPr baseColWidth="8" defaultRowHeight="15"/>
  <cols>
    <col width="1" customWidth="1" min="1" max="1"/>
    <col width="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" customWidth="1" min="9" max="9"/>
    <col width="14" customWidth="1" min="10" max="10"/>
    <col width="14" customWidth="1" min="11" max="11"/>
    <col width="14" customWidth="1" min="12" max="12"/>
    <col width="14" customWidth="1" min="13" max="13"/>
    <col width="2" customWidth="1" min="14" max="14"/>
  </cols>
  <sheetData>
    <row r="1" ht="8" customHeight="1"/>
    <row r="2" ht="48" customHeight="1">
      <c r="B2" s="1" t="inlineStr">
        <is>
          <t>🏆  SALES PERFORMANCE DASHBOARD  |  FY 2024</t>
        </is>
      </c>
    </row>
    <row r="3" ht="8" customHeight="1"/>
    <row r="4" ht="18" customHeight="1">
      <c r="B4" s="2" t="inlineStr">
        <is>
          <t>KEY PERFORMANCE INDICATORS</t>
        </is>
      </c>
    </row>
    <row r="5" ht="36" customHeight="1">
      <c r="B5" s="3" t="inlineStr">
        <is>
          <t>💰 TOTAL REVENUE</t>
        </is>
      </c>
      <c r="C5" s="4" t="n"/>
      <c r="D5" s="5" t="n"/>
      <c r="E5" s="6" t="inlineStr">
        <is>
          <t>🎯 VS TARGET</t>
        </is>
      </c>
      <c r="F5" s="4" t="n"/>
      <c r="G5" s="5" t="n"/>
      <c r="H5" s="7" t="inlineStr">
        <is>
          <t>📦 UNITS SOLD</t>
        </is>
      </c>
      <c r="I5" s="4" t="n"/>
      <c r="J5" s="5" t="n"/>
      <c r="K5" s="8" t="inlineStr">
        <is>
          <t>📈 AVG ORDER VALUE</t>
        </is>
      </c>
      <c r="L5" s="4" t="n"/>
      <c r="M5" s="5" t="n"/>
    </row>
    <row r="6" ht="36" customHeight="1">
      <c r="B6" s="9" t="n"/>
      <c r="C6" s="10" t="n"/>
      <c r="D6" s="11" t="n"/>
      <c r="E6" s="9" t="n"/>
      <c r="F6" s="10" t="n"/>
      <c r="G6" s="11" t="n"/>
      <c r="H6" s="9" t="n"/>
      <c r="I6" s="10" t="n"/>
      <c r="J6" s="11" t="n"/>
      <c r="K6" s="9" t="n"/>
      <c r="L6" s="10" t="n"/>
      <c r="M6" s="11" t="n"/>
    </row>
    <row r="7" ht="28" customHeight="1">
      <c r="B7" s="12">
        <f>SUM('📈 Monthly'!C2:C13)</f>
        <v/>
      </c>
      <c r="C7" s="4" t="n"/>
      <c r="D7" s="5" t="n"/>
      <c r="E7" s="13">
        <f>SUM('📈 Monthly'!C2:C13)-SUM('📈 Monthly'!D2:D13)</f>
        <v/>
      </c>
      <c r="F7" s="4" t="n"/>
      <c r="G7" s="5" t="n"/>
      <c r="H7" s="14">
        <f>SUM('📈 Monthly'!E2:E13)</f>
        <v/>
      </c>
      <c r="I7" s="4" t="n"/>
      <c r="J7" s="5" t="n"/>
      <c r="K7" s="15">
        <f>SUM('📈 Monthly'!C2:C13)/SUM('📈 Monthly'!E2:E13)</f>
        <v/>
      </c>
      <c r="L7" s="4" t="n"/>
      <c r="M7" s="5" t="n"/>
    </row>
    <row r="8" ht="28" customHeight="1">
      <c r="B8" s="16" t="n"/>
      <c r="D8" s="17" t="n"/>
      <c r="E8" s="16" t="n"/>
      <c r="G8" s="17" t="n"/>
      <c r="H8" s="16" t="n"/>
      <c r="J8" s="17" t="n"/>
      <c r="K8" s="16" t="n"/>
      <c r="M8" s="17" t="n"/>
    </row>
    <row r="9" ht="28" customHeight="1">
      <c r="B9" s="16" t="n"/>
      <c r="D9" s="17" t="n"/>
      <c r="E9" s="16" t="n"/>
      <c r="G9" s="17" t="n"/>
      <c r="H9" s="16" t="n"/>
      <c r="J9" s="17" t="n"/>
      <c r="K9" s="16" t="n"/>
      <c r="M9" s="17" t="n"/>
    </row>
    <row r="10" ht="28" customHeight="1">
      <c r="B10" s="9" t="n"/>
      <c r="C10" s="10" t="n"/>
      <c r="D10" s="11" t="n"/>
      <c r="E10" s="9" t="n"/>
      <c r="F10" s="10" t="n"/>
      <c r="G10" s="11" t="n"/>
      <c r="H10" s="9" t="n"/>
      <c r="I10" s="10" t="n"/>
      <c r="J10" s="11" t="n"/>
      <c r="K10" s="9" t="n"/>
      <c r="L10" s="10" t="n"/>
      <c r="M10" s="11" t="n"/>
    </row>
    <row r="11" ht="28" customHeight="1">
      <c r="B11" s="18" t="inlineStr">
        <is>
          <t>+18.4% YoY</t>
        </is>
      </c>
      <c r="C11" s="19" t="n"/>
      <c r="D11" s="20" t="n"/>
      <c r="E11" s="18" t="inlineStr">
        <is>
          <t>Cumulative gap</t>
        </is>
      </c>
      <c r="F11" s="19" t="n"/>
      <c r="G11" s="20" t="n"/>
      <c r="H11" s="18" t="inlineStr">
        <is>
          <t>+15.2% YoY</t>
        </is>
      </c>
      <c r="I11" s="19" t="n"/>
      <c r="J11" s="20" t="n"/>
      <c r="K11" s="18" t="inlineStr">
        <is>
          <t>Per transaction</t>
        </is>
      </c>
      <c r="L11" s="19" t="n"/>
      <c r="M11" s="20" t="n"/>
    </row>
    <row r="12" ht="8" customHeight="1"/>
    <row r="13" ht="18" customHeight="1">
      <c r="B13" s="2" t="inlineStr">
        <is>
          <t>MONTHLY REVENUE vs TARGET  ($)</t>
        </is>
      </c>
    </row>
    <row r="14" ht="24" customHeight="1">
      <c r="B14" s="21" t="inlineStr">
        <is>
          <t>Month</t>
        </is>
      </c>
      <c r="C14" s="21" t="inlineStr">
        <is>
          <t>Revenue ($)</t>
        </is>
      </c>
      <c r="D14" s="21" t="inlineStr">
        <is>
          <t>Target ($)</t>
        </is>
      </c>
      <c r="E14" s="21" t="inlineStr">
        <is>
          <t>Units</t>
        </is>
      </c>
      <c r="F14" s="21" t="inlineStr">
        <is>
          <t>Attainment</t>
        </is>
      </c>
      <c r="G14" s="21" t="inlineStr">
        <is>
          <t>Jan</t>
        </is>
      </c>
      <c r="H14" s="21" t="inlineStr">
        <is>
          <t>Feb</t>
        </is>
      </c>
      <c r="I14" s="21" t="inlineStr">
        <is>
          <t>Mar</t>
        </is>
      </c>
      <c r="J14" s="21" t="inlineStr">
        <is>
          <t>Apr</t>
        </is>
      </c>
      <c r="K14" s="21" t="inlineStr">
        <is>
          <t>May</t>
        </is>
      </c>
      <c r="L14" s="21" t="inlineStr">
        <is>
          <t>Jun</t>
        </is>
      </c>
    </row>
    <row r="15" ht="20" customHeight="1">
      <c r="B15" s="22" t="inlineStr">
        <is>
          <t>Jan</t>
        </is>
      </c>
      <c r="C15" s="23" t="n">
        <v>142000</v>
      </c>
      <c r="D15" s="23" t="n">
        <v>150000</v>
      </c>
      <c r="E15" s="24" t="n">
        <v>1120</v>
      </c>
      <c r="F15" s="25">
        <f>C15/D15</f>
        <v/>
      </c>
    </row>
    <row r="16" ht="20" customHeight="1">
      <c r="B16" s="26" t="inlineStr">
        <is>
          <t>Feb</t>
        </is>
      </c>
      <c r="C16" s="27" t="n">
        <v>158000</v>
      </c>
      <c r="D16" s="27" t="n">
        <v>160000</v>
      </c>
      <c r="E16" s="28" t="n">
        <v>1250</v>
      </c>
      <c r="F16" s="29">
        <f>C16/D16</f>
        <v/>
      </c>
    </row>
    <row r="17" ht="20" customHeight="1">
      <c r="B17" s="22" t="inlineStr">
        <is>
          <t>Mar</t>
        </is>
      </c>
      <c r="C17" s="23" t="n">
        <v>175000</v>
      </c>
      <c r="D17" s="23" t="n">
        <v>170000</v>
      </c>
      <c r="E17" s="24" t="n">
        <v>1380</v>
      </c>
      <c r="F17" s="25">
        <f>C17/D17</f>
        <v/>
      </c>
    </row>
    <row r="18" ht="20" customHeight="1">
      <c r="B18" s="26" t="inlineStr">
        <is>
          <t>Apr</t>
        </is>
      </c>
      <c r="C18" s="27" t="n">
        <v>190000</v>
      </c>
      <c r="D18" s="27" t="n">
        <v>185000</v>
      </c>
      <c r="E18" s="28" t="n">
        <v>1490</v>
      </c>
      <c r="F18" s="29">
        <f>C18/D18</f>
        <v/>
      </c>
    </row>
    <row r="19" ht="20" customHeight="1">
      <c r="B19" s="22" t="inlineStr">
        <is>
          <t>May</t>
        </is>
      </c>
      <c r="C19" s="23" t="n">
        <v>210000</v>
      </c>
      <c r="D19" s="23" t="n">
        <v>200000</v>
      </c>
      <c r="E19" s="24" t="n">
        <v>1650</v>
      </c>
      <c r="F19" s="25">
        <f>C19/D19</f>
        <v/>
      </c>
    </row>
    <row r="20" ht="20" customHeight="1">
      <c r="B20" s="26" t="inlineStr">
        <is>
          <t>Jun</t>
        </is>
      </c>
      <c r="C20" s="27" t="n">
        <v>198000</v>
      </c>
      <c r="D20" s="27" t="n">
        <v>205000</v>
      </c>
      <c r="E20" s="28" t="n">
        <v>1540</v>
      </c>
      <c r="F20" s="29">
        <f>C20/D20</f>
        <v/>
      </c>
    </row>
    <row r="21" ht="20" customHeight="1">
      <c r="B21" s="22" t="inlineStr">
        <is>
          <t>Jul</t>
        </is>
      </c>
      <c r="C21" s="23" t="n">
        <v>225000</v>
      </c>
      <c r="D21" s="23" t="n">
        <v>215000</v>
      </c>
      <c r="E21" s="24" t="n">
        <v>1760</v>
      </c>
      <c r="F21" s="25">
        <f>C21/D21</f>
        <v/>
      </c>
    </row>
    <row r="22" ht="20" customHeight="1">
      <c r="B22" s="26" t="inlineStr">
        <is>
          <t>Aug</t>
        </is>
      </c>
      <c r="C22" s="27" t="n">
        <v>240000</v>
      </c>
      <c r="D22" s="27" t="n">
        <v>235000</v>
      </c>
      <c r="E22" s="28" t="n">
        <v>1880</v>
      </c>
      <c r="F22" s="29">
        <f>C22/D22</f>
        <v/>
      </c>
    </row>
    <row r="23" ht="20" customHeight="1">
      <c r="B23" s="22" t="inlineStr">
        <is>
          <t>Sep</t>
        </is>
      </c>
      <c r="C23" s="23" t="n">
        <v>228000</v>
      </c>
      <c r="D23" s="23" t="n">
        <v>230000</v>
      </c>
      <c r="E23" s="24" t="n">
        <v>1790</v>
      </c>
      <c r="F23" s="25">
        <f>C23/D23</f>
        <v/>
      </c>
    </row>
    <row r="24" ht="20" customHeight="1">
      <c r="B24" s="26" t="inlineStr">
        <is>
          <t>Oct</t>
        </is>
      </c>
      <c r="C24" s="27" t="n">
        <v>260000</v>
      </c>
      <c r="D24" s="27" t="n">
        <v>255000</v>
      </c>
      <c r="E24" s="28" t="n">
        <v>2040</v>
      </c>
      <c r="F24" s="29">
        <f>C24/D24</f>
        <v/>
      </c>
    </row>
    <row r="25" ht="20" customHeight="1">
      <c r="B25" s="22" t="inlineStr">
        <is>
          <t>Nov</t>
        </is>
      </c>
      <c r="C25" s="23" t="n">
        <v>275000</v>
      </c>
      <c r="D25" s="23" t="n">
        <v>265000</v>
      </c>
      <c r="E25" s="24" t="n">
        <v>2150</v>
      </c>
      <c r="F25" s="25">
        <f>C25/D25</f>
        <v/>
      </c>
    </row>
    <row r="26" ht="20" customHeight="1">
      <c r="B26" s="26" t="inlineStr">
        <is>
          <t>Dec</t>
        </is>
      </c>
      <c r="C26" s="27" t="n">
        <v>295000</v>
      </c>
      <c r="D26" s="27" t="n">
        <v>285000</v>
      </c>
      <c r="E26" s="28" t="n">
        <v>2310</v>
      </c>
      <c r="F26" s="29">
        <f>C26/D26</f>
        <v/>
      </c>
    </row>
    <row r="27" ht="18" customHeight="1">
      <c r="B27" s="3" t="inlineStr">
        <is>
          <t>TOTAL</t>
        </is>
      </c>
      <c r="C27" s="30">
        <f>SUM(C15:C26)</f>
        <v/>
      </c>
      <c r="D27" s="30">
        <f>SUM(D15:D26)</f>
        <v/>
      </c>
      <c r="E27" s="31">
        <f>SUM(E15:E26)</f>
        <v/>
      </c>
      <c r="F27" s="32">
        <f>C27/D27</f>
        <v/>
      </c>
    </row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</sheetData>
  <mergeCells count="15">
    <mergeCell ref="B7:D10"/>
    <mergeCell ref="B11:D11"/>
    <mergeCell ref="E7:G10"/>
    <mergeCell ref="K7:M10"/>
    <mergeCell ref="B5:D6"/>
    <mergeCell ref="E11:G11"/>
    <mergeCell ref="H11:J11"/>
    <mergeCell ref="B4:N4"/>
    <mergeCell ref="E5:G6"/>
    <mergeCell ref="K5:M6"/>
    <mergeCell ref="H5:J6"/>
    <mergeCell ref="B13:N13"/>
    <mergeCell ref="H7:J10"/>
    <mergeCell ref="B2:N2"/>
    <mergeCell ref="K11:M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B8FF9"/>
    <outlinePr summaryBelow="1" summaryRight="1"/>
    <pageSetUpPr/>
  </sheetPr>
  <dimension ref="B2:H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6" customWidth="1" min="3" max="3"/>
    <col width="16" customWidth="1" min="4" max="4"/>
    <col width="14" customWidth="1" min="5" max="5"/>
    <col width="16" customWidth="1" min="6" max="6"/>
    <col width="16" customWidth="1" min="7" max="7"/>
    <col width="16" customWidth="1" min="8" max="8"/>
    <col width="2" customWidth="1" min="9" max="9"/>
  </cols>
  <sheetData>
    <row r="2" ht="42" customHeight="1">
      <c r="B2" s="33" t="inlineStr">
        <is>
          <t>📈  MONTHLY SALES ANALYSIS  |  2024</t>
        </is>
      </c>
    </row>
    <row r="4" ht="24" customHeight="1">
      <c r="B4" s="34" t="inlineStr">
        <is>
          <t>Month</t>
        </is>
      </c>
      <c r="C4" s="34" t="inlineStr">
        <is>
          <t>Revenue ($)</t>
        </is>
      </c>
      <c r="D4" s="34" t="inlineStr">
        <is>
          <t>Target ($)</t>
        </is>
      </c>
      <c r="E4" s="34" t="inlineStr">
        <is>
          <t>Units Sold</t>
        </is>
      </c>
      <c r="F4" s="34" t="inlineStr">
        <is>
          <t>vs Target ($)</t>
        </is>
      </c>
      <c r="G4" s="34" t="inlineStr">
        <is>
          <t>Attainment %</t>
        </is>
      </c>
      <c r="H4" s="34" t="inlineStr">
        <is>
          <t>MoM Growth %</t>
        </is>
      </c>
    </row>
    <row r="5" ht="22" customHeight="1">
      <c r="B5" s="35" t="inlineStr">
        <is>
          <t>Jan</t>
        </is>
      </c>
      <c r="C5" s="36" t="n">
        <v>142000</v>
      </c>
      <c r="D5" s="36" t="n">
        <v>150000</v>
      </c>
      <c r="E5" s="37" t="n">
        <v>1120</v>
      </c>
      <c r="F5" s="38">
        <f>C5-D5</f>
        <v/>
      </c>
      <c r="G5" s="39">
        <f>C5/D5</f>
        <v/>
      </c>
      <c r="H5" s="35" t="inlineStr">
        <is>
          <t>—</t>
        </is>
      </c>
    </row>
    <row r="6" ht="22" customHeight="1">
      <c r="B6" s="40" t="inlineStr">
        <is>
          <t>Feb</t>
        </is>
      </c>
      <c r="C6" s="41" t="n">
        <v>158000</v>
      </c>
      <c r="D6" s="41" t="n">
        <v>160000</v>
      </c>
      <c r="E6" s="42" t="n">
        <v>1250</v>
      </c>
      <c r="F6" s="43">
        <f>C6-D6</f>
        <v/>
      </c>
      <c r="G6" s="44">
        <f>C6/D6</f>
        <v/>
      </c>
      <c r="H6" s="45">
        <f>(C6-C5)/C5</f>
        <v/>
      </c>
    </row>
    <row r="7" ht="22" customHeight="1">
      <c r="B7" s="35" t="inlineStr">
        <is>
          <t>Mar</t>
        </is>
      </c>
      <c r="C7" s="36" t="n">
        <v>175000</v>
      </c>
      <c r="D7" s="36" t="n">
        <v>170000</v>
      </c>
      <c r="E7" s="37" t="n">
        <v>1380</v>
      </c>
      <c r="F7" s="38">
        <f>C7-D7</f>
        <v/>
      </c>
      <c r="G7" s="39">
        <f>C7/D7</f>
        <v/>
      </c>
      <c r="H7" s="46">
        <f>(C7-C6)/C6</f>
        <v/>
      </c>
    </row>
    <row r="8" ht="22" customHeight="1">
      <c r="B8" s="40" t="inlineStr">
        <is>
          <t>Apr</t>
        </is>
      </c>
      <c r="C8" s="41" t="n">
        <v>190000</v>
      </c>
      <c r="D8" s="41" t="n">
        <v>185000</v>
      </c>
      <c r="E8" s="42" t="n">
        <v>1490</v>
      </c>
      <c r="F8" s="43">
        <f>C8-D8</f>
        <v/>
      </c>
      <c r="G8" s="44">
        <f>C8/D8</f>
        <v/>
      </c>
      <c r="H8" s="45">
        <f>(C8-C7)/C7</f>
        <v/>
      </c>
    </row>
    <row r="9" ht="22" customHeight="1">
      <c r="B9" s="35" t="inlineStr">
        <is>
          <t>May</t>
        </is>
      </c>
      <c r="C9" s="36" t="n">
        <v>210000</v>
      </c>
      <c r="D9" s="36" t="n">
        <v>200000</v>
      </c>
      <c r="E9" s="37" t="n">
        <v>1650</v>
      </c>
      <c r="F9" s="38">
        <f>C9-D9</f>
        <v/>
      </c>
      <c r="G9" s="39">
        <f>C9/D9</f>
        <v/>
      </c>
      <c r="H9" s="46">
        <f>(C9-C8)/C8</f>
        <v/>
      </c>
    </row>
    <row r="10" ht="22" customHeight="1">
      <c r="B10" s="40" t="inlineStr">
        <is>
          <t>Jun</t>
        </is>
      </c>
      <c r="C10" s="41" t="n">
        <v>198000</v>
      </c>
      <c r="D10" s="41" t="n">
        <v>205000</v>
      </c>
      <c r="E10" s="42" t="n">
        <v>1540</v>
      </c>
      <c r="F10" s="43">
        <f>C10-D10</f>
        <v/>
      </c>
      <c r="G10" s="44">
        <f>C10/D10</f>
        <v/>
      </c>
      <c r="H10" s="45">
        <f>(C10-C9)/C9</f>
        <v/>
      </c>
    </row>
    <row r="11" ht="22" customHeight="1">
      <c r="B11" s="35" t="inlineStr">
        <is>
          <t>Jul</t>
        </is>
      </c>
      <c r="C11" s="36" t="n">
        <v>225000</v>
      </c>
      <c r="D11" s="36" t="n">
        <v>215000</v>
      </c>
      <c r="E11" s="37" t="n">
        <v>1760</v>
      </c>
      <c r="F11" s="38">
        <f>C11-D11</f>
        <v/>
      </c>
      <c r="G11" s="39">
        <f>C11/D11</f>
        <v/>
      </c>
      <c r="H11" s="46">
        <f>(C11-C10)/C10</f>
        <v/>
      </c>
    </row>
    <row r="12" ht="22" customHeight="1">
      <c r="B12" s="40" t="inlineStr">
        <is>
          <t>Aug</t>
        </is>
      </c>
      <c r="C12" s="41" t="n">
        <v>240000</v>
      </c>
      <c r="D12" s="41" t="n">
        <v>235000</v>
      </c>
      <c r="E12" s="42" t="n">
        <v>1880</v>
      </c>
      <c r="F12" s="43">
        <f>C12-D12</f>
        <v/>
      </c>
      <c r="G12" s="44">
        <f>C12/D12</f>
        <v/>
      </c>
      <c r="H12" s="45">
        <f>(C12-C11)/C11</f>
        <v/>
      </c>
    </row>
    <row r="13" ht="22" customHeight="1">
      <c r="B13" s="35" t="inlineStr">
        <is>
          <t>Sep</t>
        </is>
      </c>
      <c r="C13" s="36" t="n">
        <v>228000</v>
      </c>
      <c r="D13" s="36" t="n">
        <v>230000</v>
      </c>
      <c r="E13" s="37" t="n">
        <v>1790</v>
      </c>
      <c r="F13" s="38">
        <f>C13-D13</f>
        <v/>
      </c>
      <c r="G13" s="39">
        <f>C13/D13</f>
        <v/>
      </c>
      <c r="H13" s="46">
        <f>(C13-C12)/C12</f>
        <v/>
      </c>
    </row>
    <row r="14" ht="22" customHeight="1">
      <c r="B14" s="40" t="inlineStr">
        <is>
          <t>Oct</t>
        </is>
      </c>
      <c r="C14" s="41" t="n">
        <v>260000</v>
      </c>
      <c r="D14" s="41" t="n">
        <v>255000</v>
      </c>
      <c r="E14" s="42" t="n">
        <v>2040</v>
      </c>
      <c r="F14" s="43">
        <f>C14-D14</f>
        <v/>
      </c>
      <c r="G14" s="44">
        <f>C14/D14</f>
        <v/>
      </c>
      <c r="H14" s="45">
        <f>(C14-C13)/C13</f>
        <v/>
      </c>
    </row>
    <row r="15" ht="22" customHeight="1">
      <c r="B15" s="35" t="inlineStr">
        <is>
          <t>Nov</t>
        </is>
      </c>
      <c r="C15" s="36" t="n">
        <v>275000</v>
      </c>
      <c r="D15" s="36" t="n">
        <v>265000</v>
      </c>
      <c r="E15" s="37" t="n">
        <v>2150</v>
      </c>
      <c r="F15" s="38">
        <f>C15-D15</f>
        <v/>
      </c>
      <c r="G15" s="39">
        <f>C15/D15</f>
        <v/>
      </c>
      <c r="H15" s="46">
        <f>(C15-C14)/C14</f>
        <v/>
      </c>
    </row>
    <row r="16" ht="22" customHeight="1">
      <c r="B16" s="40" t="inlineStr">
        <is>
          <t>Dec</t>
        </is>
      </c>
      <c r="C16" s="41" t="n">
        <v>295000</v>
      </c>
      <c r="D16" s="41" t="n">
        <v>285000</v>
      </c>
      <c r="E16" s="42" t="n">
        <v>2310</v>
      </c>
      <c r="F16" s="43">
        <f>C16-D16</f>
        <v/>
      </c>
      <c r="G16" s="44">
        <f>C16/D16</f>
        <v/>
      </c>
      <c r="H16" s="45">
        <f>(C16-C15)/C15</f>
        <v/>
      </c>
    </row>
    <row r="17" ht="24" customHeight="1">
      <c r="B17" s="47" t="inlineStr">
        <is>
          <t>TOTAL / AVG</t>
        </is>
      </c>
      <c r="C17" s="48">
        <f>SUM(C5:C16)</f>
        <v/>
      </c>
      <c r="D17" s="48">
        <f>SUM(D5:D16)</f>
        <v/>
      </c>
      <c r="E17" s="49">
        <f>SUM(E5:E16)</f>
        <v/>
      </c>
      <c r="F17" s="50">
        <f>SUM(F5:F16)</f>
        <v/>
      </c>
      <c r="G17" s="51">
        <f>AVERAGE(G5:G16)</f>
        <v/>
      </c>
      <c r="H17" s="52">
        <f>AVERAGE(H6:H16)</f>
        <v/>
      </c>
    </row>
  </sheetData>
  <mergeCells count="1">
    <mergeCell ref="B2:H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E85D75"/>
    <outlinePr summaryBelow="1" summaryRight="1"/>
    <pageSetUpPr/>
  </sheetPr>
  <dimension ref="B2:G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8" customWidth="1" min="3" max="3"/>
    <col width="14" customWidth="1" min="4" max="4"/>
    <col width="16" customWidth="1" min="5" max="5"/>
    <col width="16" customWidth="1" min="6" max="6"/>
    <col width="16" customWidth="1" min="7" max="7"/>
    <col width="2" customWidth="1" min="8" max="8"/>
  </cols>
  <sheetData>
    <row r="2" ht="42" customHeight="1">
      <c r="B2" s="33" t="inlineStr">
        <is>
          <t>🗺️  REGIONAL PERFORMANCE  |  2024</t>
        </is>
      </c>
    </row>
    <row r="4" ht="24" customHeight="1">
      <c r="B4" s="34" t="inlineStr">
        <is>
          <t>Region</t>
        </is>
      </c>
      <c r="C4" s="34" t="inlineStr">
        <is>
          <t>Revenue ($)</t>
        </is>
      </c>
      <c r="D4" s="34" t="inlineStr">
        <is>
          <t>Units</t>
        </is>
      </c>
      <c r="E4" s="34" t="inlineStr">
        <is>
          <t>Avg Order ($)</t>
        </is>
      </c>
      <c r="F4" s="34" t="inlineStr">
        <is>
          <t>Revenue Share %</t>
        </is>
      </c>
      <c r="G4" s="34" t="inlineStr">
        <is>
          <t>Rank</t>
        </is>
      </c>
    </row>
    <row r="5" ht="28" customHeight="1">
      <c r="B5" s="53" t="inlineStr">
        <is>
          <t>North</t>
        </is>
      </c>
      <c r="C5" s="36" t="n">
        <v>523000</v>
      </c>
      <c r="D5" s="37" t="n">
        <v>4120</v>
      </c>
      <c r="E5" s="54">
        <f>C5/D5</f>
        <v/>
      </c>
      <c r="F5" s="39">
        <f>C5/C9</f>
        <v/>
      </c>
      <c r="G5" s="35">
        <f>RANK(C5,C$5:C$8,0)</f>
        <v/>
      </c>
    </row>
    <row r="6" ht="28" customHeight="1">
      <c r="B6" s="55" t="inlineStr">
        <is>
          <t>South</t>
        </is>
      </c>
      <c r="C6" s="41" t="n">
        <v>412000</v>
      </c>
      <c r="D6" s="42" t="n">
        <v>3250</v>
      </c>
      <c r="E6" s="56">
        <f>C6/D6</f>
        <v/>
      </c>
      <c r="F6" s="44">
        <f>C6/C9</f>
        <v/>
      </c>
      <c r="G6" s="40">
        <f>RANK(C6,C$5:C$8,0)</f>
        <v/>
      </c>
    </row>
    <row r="7" ht="28" customHeight="1">
      <c r="B7" s="53" t="inlineStr">
        <is>
          <t>East</t>
        </is>
      </c>
      <c r="C7" s="36" t="n">
        <v>618000</v>
      </c>
      <c r="D7" s="37" t="n">
        <v>4870</v>
      </c>
      <c r="E7" s="54">
        <f>C7/D7</f>
        <v/>
      </c>
      <c r="F7" s="39">
        <f>C7/C9</f>
        <v/>
      </c>
      <c r="G7" s="35">
        <f>RANK(C7,C$5:C$8,0)</f>
        <v/>
      </c>
    </row>
    <row r="8" ht="28" customHeight="1">
      <c r="B8" s="55" t="inlineStr">
        <is>
          <t>West</t>
        </is>
      </c>
      <c r="C8" s="41" t="n">
        <v>443000</v>
      </c>
      <c r="D8" s="42" t="n">
        <v>3480</v>
      </c>
      <c r="E8" s="56">
        <f>C8/D8</f>
        <v/>
      </c>
      <c r="F8" s="44">
        <f>C8/C9</f>
        <v/>
      </c>
      <c r="G8" s="40">
        <f>RANK(C8,C$5:C$8,0)</f>
        <v/>
      </c>
    </row>
    <row r="9" ht="24" customHeight="1">
      <c r="B9" s="47" t="inlineStr">
        <is>
          <t>TOTAL</t>
        </is>
      </c>
      <c r="C9" s="48">
        <f>SUM(C5:C8)</f>
        <v/>
      </c>
      <c r="D9" s="49">
        <f>SUM(D5:D8)</f>
        <v/>
      </c>
      <c r="E9" s="57">
        <f>AVERAGE(E5:E8)</f>
        <v/>
      </c>
      <c r="F9" s="51" t="inlineStr">
        <is>
          <t>100.0%</t>
        </is>
      </c>
      <c r="G9" s="47" t="inlineStr">
        <is>
          <t>—</t>
        </is>
      </c>
    </row>
  </sheetData>
  <mergeCells count="1">
    <mergeCell ref="B2:G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F5A623"/>
    <outlinePr summaryBelow="1" summaryRight="1"/>
    <pageSetUpPr/>
  </sheetPr>
  <dimension ref="B2:G1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2" customWidth="1" min="8" max="8"/>
  </cols>
  <sheetData>
    <row r="2" ht="42" customHeight="1">
      <c r="B2" s="33" t="inlineStr">
        <is>
          <t>📦  PRODUCT PERFORMANCE  |  2024</t>
        </is>
      </c>
    </row>
    <row r="4" ht="24" customHeight="1">
      <c r="B4" s="34" t="inlineStr">
        <is>
          <t>Product</t>
        </is>
      </c>
      <c r="C4" s="34" t="inlineStr">
        <is>
          <t>Revenue ($)</t>
        </is>
      </c>
      <c r="D4" s="34" t="inlineStr">
        <is>
          <t>Margin %</t>
        </is>
      </c>
      <c r="E4" s="34" t="inlineStr">
        <is>
          <t>Margin ($)</t>
        </is>
      </c>
      <c r="F4" s="34" t="inlineStr">
        <is>
          <t>Revenue Share %</t>
        </is>
      </c>
      <c r="G4" s="34" t="inlineStr">
        <is>
          <t>Rank</t>
        </is>
      </c>
    </row>
    <row r="5" ht="26" customHeight="1">
      <c r="B5" s="53" t="inlineStr">
        <is>
          <t>Product A</t>
        </is>
      </c>
      <c r="C5" s="36" t="n">
        <v>485000</v>
      </c>
      <c r="D5" s="39" t="n">
        <v>0.42</v>
      </c>
      <c r="E5" s="36">
        <f>C5*D5</f>
        <v/>
      </c>
      <c r="F5" s="39">
        <f>C5/C10</f>
        <v/>
      </c>
      <c r="G5" s="35">
        <f>RANK(C5,C$5:C$9,0)</f>
        <v/>
      </c>
    </row>
    <row r="6" ht="26" customHeight="1">
      <c r="B6" s="55" t="inlineStr">
        <is>
          <t>Product B</t>
        </is>
      </c>
      <c r="C6" s="41" t="n">
        <v>362000</v>
      </c>
      <c r="D6" s="44" t="n">
        <v>0.38</v>
      </c>
      <c r="E6" s="41">
        <f>C6*D6</f>
        <v/>
      </c>
      <c r="F6" s="44">
        <f>C6/C10</f>
        <v/>
      </c>
      <c r="G6" s="40">
        <f>RANK(C6,C$5:C$9,0)</f>
        <v/>
      </c>
    </row>
    <row r="7" ht="26" customHeight="1">
      <c r="B7" s="53" t="inlineStr">
        <is>
          <t>Product C</t>
        </is>
      </c>
      <c r="C7" s="36" t="n">
        <v>297000</v>
      </c>
      <c r="D7" s="39" t="n">
        <v>0.45</v>
      </c>
      <c r="E7" s="36">
        <f>C7*D7</f>
        <v/>
      </c>
      <c r="F7" s="39">
        <f>C7/C10</f>
        <v/>
      </c>
      <c r="G7" s="35">
        <f>RANK(C7,C$5:C$9,0)</f>
        <v/>
      </c>
    </row>
    <row r="8" ht="26" customHeight="1">
      <c r="B8" s="55" t="inlineStr">
        <is>
          <t>Product D</t>
        </is>
      </c>
      <c r="C8" s="41" t="n">
        <v>218000</v>
      </c>
      <c r="D8" s="44" t="n">
        <v>0.31</v>
      </c>
      <c r="E8" s="41">
        <f>C8*D8</f>
        <v/>
      </c>
      <c r="F8" s="44">
        <f>C8/C10</f>
        <v/>
      </c>
      <c r="G8" s="40">
        <f>RANK(C8,C$5:C$9,0)</f>
        <v/>
      </c>
    </row>
    <row r="9" ht="26" customHeight="1">
      <c r="B9" s="53" t="inlineStr">
        <is>
          <t>Product E</t>
        </is>
      </c>
      <c r="C9" s="36" t="n">
        <v>134000</v>
      </c>
      <c r="D9" s="39" t="n">
        <v>0.28</v>
      </c>
      <c r="E9" s="36">
        <f>C9*D9</f>
        <v/>
      </c>
      <c r="F9" s="39">
        <f>C9/C10</f>
        <v/>
      </c>
      <c r="G9" s="35">
        <f>RANK(C9,C$5:C$9,0)</f>
        <v/>
      </c>
    </row>
    <row r="10" ht="24" customHeight="1">
      <c r="B10" s="47" t="inlineStr">
        <is>
          <t>TOTAL</t>
        </is>
      </c>
      <c r="C10" s="48">
        <f>SUM(C5:C9)</f>
        <v/>
      </c>
      <c r="D10" s="51">
        <f>AVERAGE(D5:D9)</f>
        <v/>
      </c>
      <c r="E10" s="48">
        <f>SUM(E5:E9)</f>
        <v/>
      </c>
      <c r="F10" s="47" t="inlineStr">
        <is>
          <t>100.0%</t>
        </is>
      </c>
      <c r="G10" s="47" t="inlineStr">
        <is>
          <t>—</t>
        </is>
      </c>
    </row>
  </sheetData>
  <mergeCells count="1">
    <mergeCell ref="B2:G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F5A623"/>
    <outlinePr summaryBelow="1" summaryRight="1"/>
    <pageSetUpPr/>
  </sheetPr>
  <dimension ref="B2:G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2" customWidth="1" min="8" max="8"/>
  </cols>
  <sheetData>
    <row r="2" ht="42" customHeight="1">
      <c r="B2" s="33" t="inlineStr">
        <is>
          <t>🏅  SALES REP LEADERBOARD  |  FY 2024</t>
        </is>
      </c>
    </row>
    <row r="4" ht="24" customHeight="1">
      <c r="B4" s="34" t="inlineStr">
        <is>
          <t>Sales Rep</t>
        </is>
      </c>
      <c r="C4" s="34" t="inlineStr">
        <is>
          <t>Revenue ($)</t>
        </is>
      </c>
      <c r="D4" s="34" t="inlineStr">
        <is>
          <t>Quota Attain.</t>
        </is>
      </c>
      <c r="E4" s="34" t="inlineStr">
        <is>
          <t>Deals Closed</t>
        </is>
      </c>
      <c r="F4" s="34" t="inlineStr">
        <is>
          <t>Cust. Rating</t>
        </is>
      </c>
      <c r="G4" s="34" t="inlineStr">
        <is>
          <t>Rank</t>
        </is>
      </c>
    </row>
    <row r="5" ht="26" customHeight="1">
      <c r="B5" s="58" t="inlineStr">
        <is>
          <t>Eva Singh</t>
        </is>
      </c>
      <c r="C5" s="59" t="n">
        <v>335000</v>
      </c>
      <c r="D5" s="60" t="n">
        <v>0.9399999999999999</v>
      </c>
      <c r="E5" s="61" t="n">
        <v>162</v>
      </c>
      <c r="F5" s="62" t="n">
        <v>4.9</v>
      </c>
      <c r="G5" s="58" t="inlineStr">
        <is>
          <t>🥇</t>
        </is>
      </c>
    </row>
    <row r="6" ht="26" customHeight="1">
      <c r="B6" s="55" t="inlineStr">
        <is>
          <t>Alice Johnson</t>
        </is>
      </c>
      <c r="C6" s="41" t="n">
        <v>312000</v>
      </c>
      <c r="D6" s="63" t="n">
        <v>0.89</v>
      </c>
      <c r="E6" s="42" t="n">
        <v>148</v>
      </c>
      <c r="F6" s="64" t="n">
        <v>4.8</v>
      </c>
      <c r="G6" s="40" t="inlineStr">
        <is>
          <t>🥈</t>
        </is>
      </c>
    </row>
    <row r="7" ht="26" customHeight="1">
      <c r="B7" s="53" t="inlineStr">
        <is>
          <t>Grace Wu</t>
        </is>
      </c>
      <c r="C7" s="36" t="n">
        <v>309000</v>
      </c>
      <c r="D7" s="65" t="n">
        <v>0.87</v>
      </c>
      <c r="E7" s="37" t="n">
        <v>141</v>
      </c>
      <c r="F7" s="66" t="n">
        <v>4.7</v>
      </c>
      <c r="G7" s="35" t="inlineStr">
        <is>
          <t>🥉</t>
        </is>
      </c>
    </row>
    <row r="8" ht="26" customHeight="1">
      <c r="B8" s="55" t="inlineStr">
        <is>
          <t>Clara Kim</t>
        </is>
      </c>
      <c r="C8" s="41" t="n">
        <v>298000</v>
      </c>
      <c r="D8" s="63" t="n">
        <v>0.91</v>
      </c>
      <c r="E8" s="42" t="n">
        <v>156</v>
      </c>
      <c r="F8" s="64" t="n">
        <v>4.9</v>
      </c>
      <c r="G8" s="40" t="inlineStr">
        <is>
          <t>4</t>
        </is>
      </c>
    </row>
    <row r="9" ht="26" customHeight="1">
      <c r="B9" s="53" t="inlineStr">
        <is>
          <t>Bob Martinez</t>
        </is>
      </c>
      <c r="C9" s="36" t="n">
        <v>287000</v>
      </c>
      <c r="D9" s="65" t="n">
        <v>0.82</v>
      </c>
      <c r="E9" s="37" t="n">
        <v>132</v>
      </c>
      <c r="F9" s="66" t="n">
        <v>4.6</v>
      </c>
      <c r="G9" s="35" t="inlineStr">
        <is>
          <t>5</t>
        </is>
      </c>
    </row>
    <row r="10" ht="26" customHeight="1">
      <c r="B10" s="55" t="inlineStr">
        <is>
          <t>David Lee</t>
        </is>
      </c>
      <c r="C10" s="41" t="n">
        <v>261000</v>
      </c>
      <c r="D10" s="63" t="n">
        <v>0.76</v>
      </c>
      <c r="E10" s="42" t="n">
        <v>119</v>
      </c>
      <c r="F10" s="64" t="n">
        <v>4.3</v>
      </c>
      <c r="G10" s="40" t="inlineStr">
        <is>
          <t>6</t>
        </is>
      </c>
    </row>
    <row r="11" ht="26" customHeight="1">
      <c r="B11" s="53" t="inlineStr">
        <is>
          <t>Henry Patel</t>
        </is>
      </c>
      <c r="C11" s="36" t="n">
        <v>250000</v>
      </c>
      <c r="D11" s="65" t="n">
        <v>0.79</v>
      </c>
      <c r="E11" s="37" t="n">
        <v>124</v>
      </c>
      <c r="F11" s="66" t="n">
        <v>4.4</v>
      </c>
      <c r="G11" s="35" t="inlineStr">
        <is>
          <t>7</t>
        </is>
      </c>
    </row>
    <row r="12" ht="26" customHeight="1">
      <c r="B12" s="55" t="inlineStr">
        <is>
          <t>Frank Brown</t>
        </is>
      </c>
      <c r="C12" s="41" t="n">
        <v>244000</v>
      </c>
      <c r="D12" s="63" t="n">
        <v>0.71</v>
      </c>
      <c r="E12" s="42" t="n">
        <v>108</v>
      </c>
      <c r="F12" s="64" t="n">
        <v>4.1</v>
      </c>
      <c r="G12" s="40" t="inlineStr">
        <is>
          <t>8</t>
        </is>
      </c>
    </row>
    <row r="13" ht="24" customHeight="1">
      <c r="B13" s="47" t="inlineStr">
        <is>
          <t>TEAM TOTAL / AVG</t>
        </is>
      </c>
      <c r="C13" s="48">
        <f>SUM(C5:C12)</f>
        <v/>
      </c>
      <c r="D13" s="67">
        <f>AVERAGE(D5:D12)</f>
        <v/>
      </c>
      <c r="E13" s="49">
        <f>SUM(E5:E12)</f>
        <v/>
      </c>
      <c r="F13" s="68">
        <f>AVERAGE(F5:F12)</f>
        <v/>
      </c>
      <c r="G13" s="47" t="inlineStr">
        <is>
          <t>—</t>
        </is>
      </c>
    </row>
  </sheetData>
  <mergeCells count="1">
    <mergeCell ref="B2:G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7F8C8D"/>
    <outlinePr summaryBelow="1" summaryRight="1"/>
    <pageSetUpPr/>
  </sheetPr>
  <dimension ref="A1:G25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  <col width="12" customWidth="1" min="5" max="5"/>
    <col width="14" customWidth="1" min="6" max="6"/>
    <col width="12" customWidth="1" min="7" max="7"/>
  </cols>
  <sheetData>
    <row r="1" ht="22" customHeight="1">
      <c r="A1" s="34" t="inlineStr">
        <is>
          <t>Date</t>
        </is>
      </c>
      <c r="B1" s="34" t="inlineStr">
        <is>
          <t>Region</t>
        </is>
      </c>
      <c r="C1" s="34" t="inlineStr">
        <is>
          <t>Product</t>
        </is>
      </c>
      <c r="D1" s="34" t="inlineStr">
        <is>
          <t>Sales Rep</t>
        </is>
      </c>
      <c r="E1" s="34" t="inlineStr">
        <is>
          <t>Units</t>
        </is>
      </c>
      <c r="F1" s="34" t="inlineStr">
        <is>
          <t>Revenue ($)</t>
        </is>
      </c>
      <c r="G1" s="34" t="inlineStr">
        <is>
          <t>Margin %</t>
        </is>
      </c>
    </row>
    <row r="2">
      <c r="A2" s="69" t="n">
        <v>45304</v>
      </c>
      <c r="B2" s="22" t="inlineStr">
        <is>
          <t>South</t>
        </is>
      </c>
      <c r="C2" s="22" t="inlineStr">
        <is>
          <t>Product E</t>
        </is>
      </c>
      <c r="D2" s="22" t="inlineStr">
        <is>
          <t>Clara Kim</t>
        </is>
      </c>
      <c r="E2" s="24" t="n">
        <v>19</v>
      </c>
      <c r="F2" s="23" t="n">
        <v>2717</v>
      </c>
      <c r="G2" s="70" t="n">
        <v>0.28</v>
      </c>
    </row>
    <row r="3">
      <c r="A3" s="71" t="n">
        <v>45294</v>
      </c>
      <c r="B3" s="26" t="inlineStr">
        <is>
          <t>East</t>
        </is>
      </c>
      <c r="C3" s="26" t="inlineStr">
        <is>
          <t>Product D</t>
        </is>
      </c>
      <c r="D3" s="26" t="inlineStr">
        <is>
          <t>Bob Martinez</t>
        </is>
      </c>
      <c r="E3" s="28" t="n">
        <v>44</v>
      </c>
      <c r="F3" s="27" t="n">
        <v>9020</v>
      </c>
      <c r="G3" s="72" t="n">
        <v>0.3</v>
      </c>
    </row>
    <row r="4">
      <c r="A4" s="69" t="n">
        <v>45315</v>
      </c>
      <c r="B4" s="22" t="inlineStr">
        <is>
          <t>South</t>
        </is>
      </c>
      <c r="C4" s="22" t="inlineStr">
        <is>
          <t>Product C</t>
        </is>
      </c>
      <c r="D4" s="22" t="inlineStr">
        <is>
          <t>Grace Wu</t>
        </is>
      </c>
      <c r="E4" s="24" t="n">
        <v>60</v>
      </c>
      <c r="F4" s="23" t="n">
        <v>15240</v>
      </c>
      <c r="G4" s="70" t="n">
        <v>0.3</v>
      </c>
    </row>
    <row r="5">
      <c r="A5" s="71" t="n">
        <v>45306</v>
      </c>
      <c r="B5" s="26" t="inlineStr">
        <is>
          <t>South</t>
        </is>
      </c>
      <c r="C5" s="26" t="inlineStr">
        <is>
          <t>Product E</t>
        </is>
      </c>
      <c r="D5" s="26" t="inlineStr">
        <is>
          <t>Frank Brown</t>
        </is>
      </c>
      <c r="E5" s="28" t="n">
        <v>10</v>
      </c>
      <c r="F5" s="27" t="n">
        <v>2630</v>
      </c>
      <c r="G5" s="72" t="n">
        <v>0.38</v>
      </c>
    </row>
    <row r="6">
      <c r="A6" s="69" t="n">
        <v>45316</v>
      </c>
      <c r="B6" s="22" t="inlineStr">
        <is>
          <t>North</t>
        </is>
      </c>
      <c r="C6" s="22" t="inlineStr">
        <is>
          <t>Product D</t>
        </is>
      </c>
      <c r="D6" s="22" t="inlineStr">
        <is>
          <t>Frank Brown</t>
        </is>
      </c>
      <c r="E6" s="24" t="n">
        <v>30</v>
      </c>
      <c r="F6" s="23" t="n">
        <v>2700</v>
      </c>
      <c r="G6" s="70" t="n">
        <v>0.32</v>
      </c>
    </row>
    <row r="7">
      <c r="A7" s="71" t="n">
        <v>45292</v>
      </c>
      <c r="B7" s="26" t="inlineStr">
        <is>
          <t>West</t>
        </is>
      </c>
      <c r="C7" s="26" t="inlineStr">
        <is>
          <t>Product B</t>
        </is>
      </c>
      <c r="D7" s="26" t="inlineStr">
        <is>
          <t>Frank Brown</t>
        </is>
      </c>
      <c r="E7" s="28" t="n">
        <v>39</v>
      </c>
      <c r="F7" s="27" t="n">
        <v>3900</v>
      </c>
      <c r="G7" s="72" t="n">
        <v>0.37</v>
      </c>
    </row>
    <row r="8">
      <c r="A8" s="69" t="n">
        <v>45298</v>
      </c>
      <c r="B8" s="22" t="inlineStr">
        <is>
          <t>West</t>
        </is>
      </c>
      <c r="C8" s="22" t="inlineStr">
        <is>
          <t>Product A</t>
        </is>
      </c>
      <c r="D8" s="22" t="inlineStr">
        <is>
          <t>Frank Brown</t>
        </is>
      </c>
      <c r="E8" s="24" t="n">
        <v>13</v>
      </c>
      <c r="F8" s="23" t="n">
        <v>1755</v>
      </c>
      <c r="G8" s="70" t="n">
        <v>0.49</v>
      </c>
    </row>
    <row r="9">
      <c r="A9" s="71" t="n">
        <v>45314</v>
      </c>
      <c r="B9" s="26" t="inlineStr">
        <is>
          <t>South</t>
        </is>
      </c>
      <c r="C9" s="26" t="inlineStr">
        <is>
          <t>Product D</t>
        </is>
      </c>
      <c r="D9" s="26" t="inlineStr">
        <is>
          <t>Clara Kim</t>
        </is>
      </c>
      <c r="E9" s="28" t="n">
        <v>37</v>
      </c>
      <c r="F9" s="27" t="n">
        <v>9213</v>
      </c>
      <c r="G9" s="72" t="n">
        <v>0.29</v>
      </c>
    </row>
    <row r="10">
      <c r="A10" s="69" t="n">
        <v>45295</v>
      </c>
      <c r="B10" s="22" t="inlineStr">
        <is>
          <t>North</t>
        </is>
      </c>
      <c r="C10" s="22" t="inlineStr">
        <is>
          <t>Product B</t>
        </is>
      </c>
      <c r="D10" s="22" t="inlineStr">
        <is>
          <t>Henry Patel</t>
        </is>
      </c>
      <c r="E10" s="24" t="n">
        <v>48</v>
      </c>
      <c r="F10" s="23" t="n">
        <v>13872</v>
      </c>
      <c r="G10" s="70" t="n">
        <v>0.35</v>
      </c>
    </row>
    <row r="11">
      <c r="A11" s="71" t="n">
        <v>45305</v>
      </c>
      <c r="B11" s="26" t="inlineStr">
        <is>
          <t>North</t>
        </is>
      </c>
      <c r="C11" s="26" t="inlineStr">
        <is>
          <t>Product B</t>
        </is>
      </c>
      <c r="D11" s="26" t="inlineStr">
        <is>
          <t>Eva Singh</t>
        </is>
      </c>
      <c r="E11" s="28" t="n">
        <v>44</v>
      </c>
      <c r="F11" s="27" t="n">
        <v>3564</v>
      </c>
      <c r="G11" s="72" t="n">
        <v>0.35</v>
      </c>
    </row>
    <row r="12">
      <c r="A12" s="69" t="n">
        <v>45296</v>
      </c>
      <c r="B12" s="22" t="inlineStr">
        <is>
          <t>West</t>
        </is>
      </c>
      <c r="C12" s="22" t="inlineStr">
        <is>
          <t>Product B</t>
        </is>
      </c>
      <c r="D12" s="22" t="inlineStr">
        <is>
          <t>Alice Johnson</t>
        </is>
      </c>
      <c r="E12" s="24" t="n">
        <v>45</v>
      </c>
      <c r="F12" s="23" t="n">
        <v>6030</v>
      </c>
      <c r="G12" s="70" t="n">
        <v>0.36</v>
      </c>
    </row>
    <row r="13">
      <c r="A13" s="71" t="n">
        <v>45309</v>
      </c>
      <c r="B13" s="26" t="inlineStr">
        <is>
          <t>West</t>
        </is>
      </c>
      <c r="C13" s="26" t="inlineStr">
        <is>
          <t>Product B</t>
        </is>
      </c>
      <c r="D13" s="26" t="inlineStr">
        <is>
          <t>Frank Brown</t>
        </is>
      </c>
      <c r="E13" s="28" t="n">
        <v>49</v>
      </c>
      <c r="F13" s="27" t="n">
        <v>9849</v>
      </c>
      <c r="G13" s="72" t="n">
        <v>0.48</v>
      </c>
    </row>
    <row r="14">
      <c r="A14" s="69" t="n">
        <v>45296</v>
      </c>
      <c r="B14" s="22" t="inlineStr">
        <is>
          <t>South</t>
        </is>
      </c>
      <c r="C14" s="22" t="inlineStr">
        <is>
          <t>Product E</t>
        </is>
      </c>
      <c r="D14" s="22" t="inlineStr">
        <is>
          <t>Grace Wu</t>
        </is>
      </c>
      <c r="E14" s="24" t="n">
        <v>12</v>
      </c>
      <c r="F14" s="23" t="n">
        <v>1248</v>
      </c>
      <c r="G14" s="70" t="n">
        <v>0.28</v>
      </c>
    </row>
    <row r="15">
      <c r="A15" s="71" t="n">
        <v>45301</v>
      </c>
      <c r="B15" s="26" t="inlineStr">
        <is>
          <t>South</t>
        </is>
      </c>
      <c r="C15" s="26" t="inlineStr">
        <is>
          <t>Product B</t>
        </is>
      </c>
      <c r="D15" s="26" t="inlineStr">
        <is>
          <t>Grace Wu</t>
        </is>
      </c>
      <c r="E15" s="28" t="n">
        <v>14</v>
      </c>
      <c r="F15" s="27" t="n">
        <v>1862</v>
      </c>
      <c r="G15" s="72" t="n">
        <v>0.47</v>
      </c>
    </row>
    <row r="16">
      <c r="A16" s="69" t="n">
        <v>45302</v>
      </c>
      <c r="B16" s="22" t="inlineStr">
        <is>
          <t>West</t>
        </is>
      </c>
      <c r="C16" s="22" t="inlineStr">
        <is>
          <t>Product B</t>
        </is>
      </c>
      <c r="D16" s="22" t="inlineStr">
        <is>
          <t>Eva Singh</t>
        </is>
      </c>
      <c r="E16" s="24" t="n">
        <v>12</v>
      </c>
      <c r="F16" s="23" t="n">
        <v>3588</v>
      </c>
      <c r="G16" s="70" t="n">
        <v>0.46</v>
      </c>
    </row>
    <row r="17">
      <c r="A17" s="71" t="n">
        <v>45297</v>
      </c>
      <c r="B17" s="26" t="inlineStr">
        <is>
          <t>North</t>
        </is>
      </c>
      <c r="C17" s="26" t="inlineStr">
        <is>
          <t>Product E</t>
        </is>
      </c>
      <c r="D17" s="26" t="inlineStr">
        <is>
          <t>Eva Singh</t>
        </is>
      </c>
      <c r="E17" s="28" t="n">
        <v>5</v>
      </c>
      <c r="F17" s="27" t="n">
        <v>1145</v>
      </c>
      <c r="G17" s="72" t="n">
        <v>0.46</v>
      </c>
    </row>
    <row r="18">
      <c r="A18" s="69" t="n">
        <v>45302</v>
      </c>
      <c r="B18" s="22" t="inlineStr">
        <is>
          <t>South</t>
        </is>
      </c>
      <c r="C18" s="22" t="inlineStr">
        <is>
          <t>Product D</t>
        </is>
      </c>
      <c r="D18" s="22" t="inlineStr">
        <is>
          <t>Grace Wu</t>
        </is>
      </c>
      <c r="E18" s="24" t="n">
        <v>26</v>
      </c>
      <c r="F18" s="23" t="n">
        <v>7540</v>
      </c>
      <c r="G18" s="70" t="n">
        <v>0.45</v>
      </c>
    </row>
    <row r="19">
      <c r="A19" s="71" t="n">
        <v>45304</v>
      </c>
      <c r="B19" s="26" t="inlineStr">
        <is>
          <t>West</t>
        </is>
      </c>
      <c r="C19" s="26" t="inlineStr">
        <is>
          <t>Product C</t>
        </is>
      </c>
      <c r="D19" s="26" t="inlineStr">
        <is>
          <t>Bob Martinez</t>
        </is>
      </c>
      <c r="E19" s="28" t="n">
        <v>16</v>
      </c>
      <c r="F19" s="27" t="n">
        <v>1424</v>
      </c>
      <c r="G19" s="72" t="n">
        <v>0.48</v>
      </c>
    </row>
    <row r="20">
      <c r="A20" s="69" t="n">
        <v>45315</v>
      </c>
      <c r="B20" s="22" t="inlineStr">
        <is>
          <t>West</t>
        </is>
      </c>
      <c r="C20" s="22" t="inlineStr">
        <is>
          <t>Product D</t>
        </is>
      </c>
      <c r="D20" s="22" t="inlineStr">
        <is>
          <t>David Lee</t>
        </is>
      </c>
      <c r="E20" s="24" t="n">
        <v>24</v>
      </c>
      <c r="F20" s="23" t="n">
        <v>7152</v>
      </c>
      <c r="G20" s="70" t="n">
        <v>0.41</v>
      </c>
    </row>
    <row r="21">
      <c r="A21" s="71" t="n">
        <v>45312</v>
      </c>
      <c r="B21" s="26" t="inlineStr">
        <is>
          <t>East</t>
        </is>
      </c>
      <c r="C21" s="26" t="inlineStr">
        <is>
          <t>Product A</t>
        </is>
      </c>
      <c r="D21" s="26" t="inlineStr">
        <is>
          <t>Frank Brown</t>
        </is>
      </c>
      <c r="E21" s="28" t="n">
        <v>18</v>
      </c>
      <c r="F21" s="27" t="n">
        <v>4950</v>
      </c>
      <c r="G21" s="72" t="n">
        <v>0.45</v>
      </c>
    </row>
    <row r="22">
      <c r="A22" s="69" t="n">
        <v>45313</v>
      </c>
      <c r="B22" s="22" t="inlineStr">
        <is>
          <t>South</t>
        </is>
      </c>
      <c r="C22" s="22" t="inlineStr">
        <is>
          <t>Product D</t>
        </is>
      </c>
      <c r="D22" s="22" t="inlineStr">
        <is>
          <t>Eva Singh</t>
        </is>
      </c>
      <c r="E22" s="24" t="n">
        <v>33</v>
      </c>
      <c r="F22" s="23" t="n">
        <v>8976</v>
      </c>
      <c r="G22" s="70" t="n">
        <v>0.49</v>
      </c>
    </row>
    <row r="23">
      <c r="A23" s="71" t="n">
        <v>45306</v>
      </c>
      <c r="B23" s="26" t="inlineStr">
        <is>
          <t>West</t>
        </is>
      </c>
      <c r="C23" s="26" t="inlineStr">
        <is>
          <t>Product C</t>
        </is>
      </c>
      <c r="D23" s="26" t="inlineStr">
        <is>
          <t>Bob Martinez</t>
        </is>
      </c>
      <c r="E23" s="28" t="n">
        <v>37</v>
      </c>
      <c r="F23" s="27" t="n">
        <v>5735</v>
      </c>
      <c r="G23" s="72" t="n">
        <v>0.48</v>
      </c>
    </row>
    <row r="24">
      <c r="A24" s="69" t="n">
        <v>45319</v>
      </c>
      <c r="B24" s="22" t="inlineStr">
        <is>
          <t>East</t>
        </is>
      </c>
      <c r="C24" s="22" t="inlineStr">
        <is>
          <t>Product D</t>
        </is>
      </c>
      <c r="D24" s="22" t="inlineStr">
        <is>
          <t>Clara Kim</t>
        </is>
      </c>
      <c r="E24" s="24" t="n">
        <v>21</v>
      </c>
      <c r="F24" s="23" t="n">
        <v>3990</v>
      </c>
      <c r="G24" s="70" t="n">
        <v>0.47</v>
      </c>
    </row>
    <row r="25">
      <c r="A25" s="71" t="n">
        <v>45305</v>
      </c>
      <c r="B25" s="26" t="inlineStr">
        <is>
          <t>South</t>
        </is>
      </c>
      <c r="C25" s="26" t="inlineStr">
        <is>
          <t>Product C</t>
        </is>
      </c>
      <c r="D25" s="26" t="inlineStr">
        <is>
          <t>Grace Wu</t>
        </is>
      </c>
      <c r="E25" s="28" t="n">
        <v>48</v>
      </c>
      <c r="F25" s="27" t="n">
        <v>12144</v>
      </c>
      <c r="G25" s="72" t="n">
        <v>0.4</v>
      </c>
    </row>
    <row r="26">
      <c r="A26" s="69" t="n">
        <v>45329</v>
      </c>
      <c r="B26" s="22" t="inlineStr">
        <is>
          <t>West</t>
        </is>
      </c>
      <c r="C26" s="22" t="inlineStr">
        <is>
          <t>Product C</t>
        </is>
      </c>
      <c r="D26" s="22" t="inlineStr">
        <is>
          <t>David Lee</t>
        </is>
      </c>
      <c r="E26" s="24" t="n">
        <v>27</v>
      </c>
      <c r="F26" s="23" t="n">
        <v>2187</v>
      </c>
      <c r="G26" s="70" t="n">
        <v>0.42</v>
      </c>
    </row>
    <row r="27">
      <c r="A27" s="71" t="n">
        <v>45345</v>
      </c>
      <c r="B27" s="26" t="inlineStr">
        <is>
          <t>East</t>
        </is>
      </c>
      <c r="C27" s="26" t="inlineStr">
        <is>
          <t>Product B</t>
        </is>
      </c>
      <c r="D27" s="26" t="inlineStr">
        <is>
          <t>Clara Kim</t>
        </is>
      </c>
      <c r="E27" s="28" t="n">
        <v>55</v>
      </c>
      <c r="F27" s="27" t="n">
        <v>13365</v>
      </c>
      <c r="G27" s="72" t="n">
        <v>0.32</v>
      </c>
    </row>
    <row r="28">
      <c r="A28" s="69" t="n">
        <v>45336</v>
      </c>
      <c r="B28" s="22" t="inlineStr">
        <is>
          <t>South</t>
        </is>
      </c>
      <c r="C28" s="22" t="inlineStr">
        <is>
          <t>Product D</t>
        </is>
      </c>
      <c r="D28" s="22" t="inlineStr">
        <is>
          <t>Frank Brown</t>
        </is>
      </c>
      <c r="E28" s="24" t="n">
        <v>47</v>
      </c>
      <c r="F28" s="23" t="n">
        <v>8554</v>
      </c>
      <c r="G28" s="70" t="n">
        <v>0.25</v>
      </c>
    </row>
    <row r="29">
      <c r="A29" s="71" t="n">
        <v>45339</v>
      </c>
      <c r="B29" s="26" t="inlineStr">
        <is>
          <t>South</t>
        </is>
      </c>
      <c r="C29" s="26" t="inlineStr">
        <is>
          <t>Product A</t>
        </is>
      </c>
      <c r="D29" s="26" t="inlineStr">
        <is>
          <t>Eva Singh</t>
        </is>
      </c>
      <c r="E29" s="28" t="n">
        <v>48</v>
      </c>
      <c r="F29" s="27" t="n">
        <v>13008</v>
      </c>
      <c r="G29" s="72" t="n">
        <v>0.5</v>
      </c>
    </row>
    <row r="30">
      <c r="A30" s="69" t="n">
        <v>45339</v>
      </c>
      <c r="B30" s="22" t="inlineStr">
        <is>
          <t>West</t>
        </is>
      </c>
      <c r="C30" s="22" t="inlineStr">
        <is>
          <t>Product B</t>
        </is>
      </c>
      <c r="D30" s="22" t="inlineStr">
        <is>
          <t>Eva Singh</t>
        </is>
      </c>
      <c r="E30" s="24" t="n">
        <v>52</v>
      </c>
      <c r="F30" s="23" t="n">
        <v>15444</v>
      </c>
      <c r="G30" s="70" t="n">
        <v>0.43</v>
      </c>
    </row>
    <row r="31">
      <c r="A31" s="71" t="n">
        <v>45337</v>
      </c>
      <c r="B31" s="26" t="inlineStr">
        <is>
          <t>East</t>
        </is>
      </c>
      <c r="C31" s="26" t="inlineStr">
        <is>
          <t>Product B</t>
        </is>
      </c>
      <c r="D31" s="26" t="inlineStr">
        <is>
          <t>Alice Johnson</t>
        </is>
      </c>
      <c r="E31" s="28" t="n">
        <v>11</v>
      </c>
      <c r="F31" s="27" t="n">
        <v>3146</v>
      </c>
      <c r="G31" s="72" t="n">
        <v>0.33</v>
      </c>
    </row>
    <row r="32">
      <c r="A32" s="69" t="n">
        <v>45341</v>
      </c>
      <c r="B32" s="22" t="inlineStr">
        <is>
          <t>North</t>
        </is>
      </c>
      <c r="C32" s="22" t="inlineStr">
        <is>
          <t>Product A</t>
        </is>
      </c>
      <c r="D32" s="22" t="inlineStr">
        <is>
          <t>Grace Wu</t>
        </is>
      </c>
      <c r="E32" s="24" t="n">
        <v>24</v>
      </c>
      <c r="F32" s="23" t="n">
        <v>4176</v>
      </c>
      <c r="G32" s="70" t="n">
        <v>0.49</v>
      </c>
    </row>
    <row r="33">
      <c r="A33" s="71" t="n">
        <v>45343</v>
      </c>
      <c r="B33" s="26" t="inlineStr">
        <is>
          <t>East</t>
        </is>
      </c>
      <c r="C33" s="26" t="inlineStr">
        <is>
          <t>Product B</t>
        </is>
      </c>
      <c r="D33" s="26" t="inlineStr">
        <is>
          <t>Bob Martinez</t>
        </is>
      </c>
      <c r="E33" s="28" t="n">
        <v>60</v>
      </c>
      <c r="F33" s="27" t="n">
        <v>16980</v>
      </c>
      <c r="G33" s="72" t="n">
        <v>0.35</v>
      </c>
    </row>
    <row r="34">
      <c r="A34" s="69" t="n">
        <v>45348</v>
      </c>
      <c r="B34" s="22" t="inlineStr">
        <is>
          <t>South</t>
        </is>
      </c>
      <c r="C34" s="22" t="inlineStr">
        <is>
          <t>Product C</t>
        </is>
      </c>
      <c r="D34" s="22" t="inlineStr">
        <is>
          <t>Henry Patel</t>
        </is>
      </c>
      <c r="E34" s="24" t="n">
        <v>26</v>
      </c>
      <c r="F34" s="23" t="n">
        <v>2912</v>
      </c>
      <c r="G34" s="70" t="n">
        <v>0.47</v>
      </c>
    </row>
    <row r="35">
      <c r="A35" s="71" t="n">
        <v>45337</v>
      </c>
      <c r="B35" s="26" t="inlineStr">
        <is>
          <t>West</t>
        </is>
      </c>
      <c r="C35" s="26" t="inlineStr">
        <is>
          <t>Product D</t>
        </is>
      </c>
      <c r="D35" s="26" t="inlineStr">
        <is>
          <t>Clara Kim</t>
        </is>
      </c>
      <c r="E35" s="28" t="n">
        <v>28</v>
      </c>
      <c r="F35" s="27" t="n">
        <v>4032</v>
      </c>
      <c r="G35" s="72" t="n">
        <v>0.3</v>
      </c>
    </row>
    <row r="36">
      <c r="A36" s="69" t="n">
        <v>45337</v>
      </c>
      <c r="B36" s="22" t="inlineStr">
        <is>
          <t>West</t>
        </is>
      </c>
      <c r="C36" s="22" t="inlineStr">
        <is>
          <t>Product B</t>
        </is>
      </c>
      <c r="D36" s="22" t="inlineStr">
        <is>
          <t>Henry Patel</t>
        </is>
      </c>
      <c r="E36" s="24" t="n">
        <v>41</v>
      </c>
      <c r="F36" s="23" t="n">
        <v>9840</v>
      </c>
      <c r="G36" s="70" t="n">
        <v>0.47</v>
      </c>
    </row>
    <row r="37">
      <c r="A37" s="71" t="n">
        <v>45338</v>
      </c>
      <c r="B37" s="26" t="inlineStr">
        <is>
          <t>South</t>
        </is>
      </c>
      <c r="C37" s="26" t="inlineStr">
        <is>
          <t>Product A</t>
        </is>
      </c>
      <c r="D37" s="26" t="inlineStr">
        <is>
          <t>David Lee</t>
        </is>
      </c>
      <c r="E37" s="28" t="n">
        <v>34</v>
      </c>
      <c r="F37" s="27" t="n">
        <v>7242</v>
      </c>
      <c r="G37" s="72" t="n">
        <v>0.25</v>
      </c>
    </row>
    <row r="38">
      <c r="A38" s="69" t="n">
        <v>45333</v>
      </c>
      <c r="B38" s="22" t="inlineStr">
        <is>
          <t>West</t>
        </is>
      </c>
      <c r="C38" s="22" t="inlineStr">
        <is>
          <t>Product A</t>
        </is>
      </c>
      <c r="D38" s="22" t="inlineStr">
        <is>
          <t>Frank Brown</t>
        </is>
      </c>
      <c r="E38" s="24" t="n">
        <v>46</v>
      </c>
      <c r="F38" s="23" t="n">
        <v>12282</v>
      </c>
      <c r="G38" s="70" t="n">
        <v>0.25</v>
      </c>
    </row>
    <row r="39">
      <c r="A39" s="71" t="n">
        <v>45344</v>
      </c>
      <c r="B39" s="26" t="inlineStr">
        <is>
          <t>East</t>
        </is>
      </c>
      <c r="C39" s="26" t="inlineStr">
        <is>
          <t>Product A</t>
        </is>
      </c>
      <c r="D39" s="26" t="inlineStr">
        <is>
          <t>Frank Brown</t>
        </is>
      </c>
      <c r="E39" s="28" t="n">
        <v>31</v>
      </c>
      <c r="F39" s="27" t="n">
        <v>4526</v>
      </c>
      <c r="G39" s="72" t="n">
        <v>0.29</v>
      </c>
    </row>
    <row r="40">
      <c r="A40" s="69" t="n">
        <v>45341</v>
      </c>
      <c r="B40" s="22" t="inlineStr">
        <is>
          <t>North</t>
        </is>
      </c>
      <c r="C40" s="22" t="inlineStr">
        <is>
          <t>Product D</t>
        </is>
      </c>
      <c r="D40" s="22" t="inlineStr">
        <is>
          <t>Alice Johnson</t>
        </is>
      </c>
      <c r="E40" s="24" t="n">
        <v>8</v>
      </c>
      <c r="F40" s="23" t="n">
        <v>1336</v>
      </c>
      <c r="G40" s="70" t="n">
        <v>0.38</v>
      </c>
    </row>
    <row r="41">
      <c r="A41" s="71" t="n">
        <v>45340</v>
      </c>
      <c r="B41" s="26" t="inlineStr">
        <is>
          <t>East</t>
        </is>
      </c>
      <c r="C41" s="26" t="inlineStr">
        <is>
          <t>Product B</t>
        </is>
      </c>
      <c r="D41" s="26" t="inlineStr">
        <is>
          <t>Henry Patel</t>
        </is>
      </c>
      <c r="E41" s="28" t="n">
        <v>8</v>
      </c>
      <c r="F41" s="27" t="n">
        <v>2064</v>
      </c>
      <c r="G41" s="72" t="n">
        <v>0.44</v>
      </c>
    </row>
    <row r="42">
      <c r="A42" s="69" t="n">
        <v>45330</v>
      </c>
      <c r="B42" s="22" t="inlineStr">
        <is>
          <t>South</t>
        </is>
      </c>
      <c r="C42" s="22" t="inlineStr">
        <is>
          <t>Product A</t>
        </is>
      </c>
      <c r="D42" s="22" t="inlineStr">
        <is>
          <t>Henry Patel</t>
        </is>
      </c>
      <c r="E42" s="24" t="n">
        <v>15</v>
      </c>
      <c r="F42" s="23" t="n">
        <v>2235</v>
      </c>
      <c r="G42" s="70" t="n">
        <v>0.32</v>
      </c>
    </row>
    <row r="43">
      <c r="A43" s="71" t="n">
        <v>45334</v>
      </c>
      <c r="B43" s="26" t="inlineStr">
        <is>
          <t>North</t>
        </is>
      </c>
      <c r="C43" s="26" t="inlineStr">
        <is>
          <t>Product E</t>
        </is>
      </c>
      <c r="D43" s="26" t="inlineStr">
        <is>
          <t>David Lee</t>
        </is>
      </c>
      <c r="E43" s="28" t="n">
        <v>54</v>
      </c>
      <c r="F43" s="27" t="n">
        <v>12042</v>
      </c>
      <c r="G43" s="72" t="n">
        <v>0.29</v>
      </c>
    </row>
    <row r="44">
      <c r="A44" s="69" t="n">
        <v>45334</v>
      </c>
      <c r="B44" s="22" t="inlineStr">
        <is>
          <t>North</t>
        </is>
      </c>
      <c r="C44" s="22" t="inlineStr">
        <is>
          <t>Product A</t>
        </is>
      </c>
      <c r="D44" s="22" t="inlineStr">
        <is>
          <t>Clara Kim</t>
        </is>
      </c>
      <c r="E44" s="24" t="n">
        <v>57</v>
      </c>
      <c r="F44" s="23" t="n">
        <v>6555</v>
      </c>
      <c r="G44" s="70" t="n">
        <v>0.29</v>
      </c>
    </row>
    <row r="45">
      <c r="A45" s="71" t="n">
        <v>45325</v>
      </c>
      <c r="B45" s="26" t="inlineStr">
        <is>
          <t>North</t>
        </is>
      </c>
      <c r="C45" s="26" t="inlineStr">
        <is>
          <t>Product E</t>
        </is>
      </c>
      <c r="D45" s="26" t="inlineStr">
        <is>
          <t>Grace Wu</t>
        </is>
      </c>
      <c r="E45" s="28" t="n">
        <v>15</v>
      </c>
      <c r="F45" s="27" t="n">
        <v>2550</v>
      </c>
      <c r="G45" s="72" t="n">
        <v>0.47</v>
      </c>
    </row>
    <row r="46">
      <c r="A46" s="69" t="n">
        <v>45345</v>
      </c>
      <c r="B46" s="22" t="inlineStr">
        <is>
          <t>South</t>
        </is>
      </c>
      <c r="C46" s="22" t="inlineStr">
        <is>
          <t>Product E</t>
        </is>
      </c>
      <c r="D46" s="22" t="inlineStr">
        <is>
          <t>Clara Kim</t>
        </is>
      </c>
      <c r="E46" s="24" t="n">
        <v>26</v>
      </c>
      <c r="F46" s="23" t="n">
        <v>7202</v>
      </c>
      <c r="G46" s="70" t="n">
        <v>0.26</v>
      </c>
    </row>
    <row r="47">
      <c r="A47" s="71" t="n">
        <v>45333</v>
      </c>
      <c r="B47" s="26" t="inlineStr">
        <is>
          <t>West</t>
        </is>
      </c>
      <c r="C47" s="26" t="inlineStr">
        <is>
          <t>Product B</t>
        </is>
      </c>
      <c r="D47" s="26" t="inlineStr">
        <is>
          <t>Eva Singh</t>
        </is>
      </c>
      <c r="E47" s="28" t="n">
        <v>16</v>
      </c>
      <c r="F47" s="27" t="n">
        <v>4304</v>
      </c>
      <c r="G47" s="72" t="n">
        <v>0.28</v>
      </c>
    </row>
    <row r="48">
      <c r="A48" s="69" t="n">
        <v>45338</v>
      </c>
      <c r="B48" s="22" t="inlineStr">
        <is>
          <t>North</t>
        </is>
      </c>
      <c r="C48" s="22" t="inlineStr">
        <is>
          <t>Product B</t>
        </is>
      </c>
      <c r="D48" s="22" t="inlineStr">
        <is>
          <t>Grace Wu</t>
        </is>
      </c>
      <c r="E48" s="24" t="n">
        <v>48</v>
      </c>
      <c r="F48" s="23" t="n">
        <v>13584</v>
      </c>
      <c r="G48" s="70" t="n">
        <v>0.27</v>
      </c>
    </row>
    <row r="49">
      <c r="A49" s="71" t="n">
        <v>45348</v>
      </c>
      <c r="B49" s="26" t="inlineStr">
        <is>
          <t>South</t>
        </is>
      </c>
      <c r="C49" s="26" t="inlineStr">
        <is>
          <t>Product E</t>
        </is>
      </c>
      <c r="D49" s="26" t="inlineStr">
        <is>
          <t>Henry Patel</t>
        </is>
      </c>
      <c r="E49" s="28" t="n">
        <v>51</v>
      </c>
      <c r="F49" s="27" t="n">
        <v>14382</v>
      </c>
      <c r="G49" s="72" t="n">
        <v>0.4</v>
      </c>
    </row>
    <row r="50">
      <c r="A50" s="69" t="n">
        <v>45325</v>
      </c>
      <c r="B50" s="22" t="inlineStr">
        <is>
          <t>South</t>
        </is>
      </c>
      <c r="C50" s="22" t="inlineStr">
        <is>
          <t>Product B</t>
        </is>
      </c>
      <c r="D50" s="22" t="inlineStr">
        <is>
          <t>Henry Patel</t>
        </is>
      </c>
      <c r="E50" s="24" t="n">
        <v>28</v>
      </c>
      <c r="F50" s="23" t="n">
        <v>4032</v>
      </c>
      <c r="G50" s="70" t="n">
        <v>0.33</v>
      </c>
    </row>
    <row r="51">
      <c r="A51" s="71" t="n">
        <v>45370</v>
      </c>
      <c r="B51" s="26" t="inlineStr">
        <is>
          <t>West</t>
        </is>
      </c>
      <c r="C51" s="26" t="inlineStr">
        <is>
          <t>Product A</t>
        </is>
      </c>
      <c r="D51" s="26" t="inlineStr">
        <is>
          <t>Eva Singh</t>
        </is>
      </c>
      <c r="E51" s="28" t="n">
        <v>15</v>
      </c>
      <c r="F51" s="27" t="n">
        <v>1695</v>
      </c>
      <c r="G51" s="72" t="n">
        <v>0.49</v>
      </c>
    </row>
    <row r="52">
      <c r="A52" s="69" t="n">
        <v>45361</v>
      </c>
      <c r="B52" s="22" t="inlineStr">
        <is>
          <t>East</t>
        </is>
      </c>
      <c r="C52" s="22" t="inlineStr">
        <is>
          <t>Product C</t>
        </is>
      </c>
      <c r="D52" s="22" t="inlineStr">
        <is>
          <t>Bob Martinez</t>
        </is>
      </c>
      <c r="E52" s="24" t="n">
        <v>36</v>
      </c>
      <c r="F52" s="23" t="n">
        <v>6804</v>
      </c>
      <c r="G52" s="70" t="n">
        <v>0.45</v>
      </c>
    </row>
    <row r="53">
      <c r="A53" s="71" t="n">
        <v>45353</v>
      </c>
      <c r="B53" s="26" t="inlineStr">
        <is>
          <t>East</t>
        </is>
      </c>
      <c r="C53" s="26" t="inlineStr">
        <is>
          <t>Product B</t>
        </is>
      </c>
      <c r="D53" s="26" t="inlineStr">
        <is>
          <t>Frank Brown</t>
        </is>
      </c>
      <c r="E53" s="28" t="n">
        <v>59</v>
      </c>
      <c r="F53" s="27" t="n">
        <v>9735</v>
      </c>
      <c r="G53" s="72" t="n">
        <v>0.42</v>
      </c>
    </row>
    <row r="54">
      <c r="A54" s="69" t="n">
        <v>45377</v>
      </c>
      <c r="B54" s="22" t="inlineStr">
        <is>
          <t>North</t>
        </is>
      </c>
      <c r="C54" s="22" t="inlineStr">
        <is>
          <t>Product D</t>
        </is>
      </c>
      <c r="D54" s="22" t="inlineStr">
        <is>
          <t>Eva Singh</t>
        </is>
      </c>
      <c r="E54" s="24" t="n">
        <v>44</v>
      </c>
      <c r="F54" s="23" t="n">
        <v>6072</v>
      </c>
      <c r="G54" s="70" t="n">
        <v>0.39</v>
      </c>
    </row>
    <row r="55">
      <c r="A55" s="71" t="n">
        <v>45374</v>
      </c>
      <c r="B55" s="26" t="inlineStr">
        <is>
          <t>North</t>
        </is>
      </c>
      <c r="C55" s="26" t="inlineStr">
        <is>
          <t>Product C</t>
        </is>
      </c>
      <c r="D55" s="26" t="inlineStr">
        <is>
          <t>Grace Wu</t>
        </is>
      </c>
      <c r="E55" s="28" t="n">
        <v>31</v>
      </c>
      <c r="F55" s="27" t="n">
        <v>6541</v>
      </c>
      <c r="G55" s="72" t="n">
        <v>0.43</v>
      </c>
    </row>
    <row r="56">
      <c r="A56" s="69" t="n">
        <v>45376</v>
      </c>
      <c r="B56" s="22" t="inlineStr">
        <is>
          <t>South</t>
        </is>
      </c>
      <c r="C56" s="22" t="inlineStr">
        <is>
          <t>Product B</t>
        </is>
      </c>
      <c r="D56" s="22" t="inlineStr">
        <is>
          <t>Grace Wu</t>
        </is>
      </c>
      <c r="E56" s="24" t="n">
        <v>8</v>
      </c>
      <c r="F56" s="23" t="n">
        <v>1072</v>
      </c>
      <c r="G56" s="70" t="n">
        <v>0.31</v>
      </c>
    </row>
    <row r="57">
      <c r="A57" s="71" t="n">
        <v>45360</v>
      </c>
      <c r="B57" s="26" t="inlineStr">
        <is>
          <t>South</t>
        </is>
      </c>
      <c r="C57" s="26" t="inlineStr">
        <is>
          <t>Product E</t>
        </is>
      </c>
      <c r="D57" s="26" t="inlineStr">
        <is>
          <t>Bob Martinez</t>
        </is>
      </c>
      <c r="E57" s="28" t="n">
        <v>32</v>
      </c>
      <c r="F57" s="27" t="n">
        <v>2592</v>
      </c>
      <c r="G57" s="72" t="n">
        <v>0.39</v>
      </c>
    </row>
    <row r="58">
      <c r="A58" s="69" t="n">
        <v>45352</v>
      </c>
      <c r="B58" s="22" t="inlineStr">
        <is>
          <t>South</t>
        </is>
      </c>
      <c r="C58" s="22" t="inlineStr">
        <is>
          <t>Product B</t>
        </is>
      </c>
      <c r="D58" s="22" t="inlineStr">
        <is>
          <t>Clara Kim</t>
        </is>
      </c>
      <c r="E58" s="24" t="n">
        <v>45</v>
      </c>
      <c r="F58" s="23" t="n">
        <v>7020</v>
      </c>
      <c r="G58" s="70" t="n">
        <v>0.27</v>
      </c>
    </row>
    <row r="59">
      <c r="A59" s="71" t="n">
        <v>45360</v>
      </c>
      <c r="B59" s="26" t="inlineStr">
        <is>
          <t>South</t>
        </is>
      </c>
      <c r="C59" s="26" t="inlineStr">
        <is>
          <t>Product E</t>
        </is>
      </c>
      <c r="D59" s="26" t="inlineStr">
        <is>
          <t>Grace Wu</t>
        </is>
      </c>
      <c r="E59" s="28" t="n">
        <v>14</v>
      </c>
      <c r="F59" s="27" t="n">
        <v>1120</v>
      </c>
      <c r="G59" s="72" t="n">
        <v>0.48</v>
      </c>
    </row>
    <row r="60">
      <c r="A60" s="69" t="n">
        <v>45353</v>
      </c>
      <c r="B60" s="22" t="inlineStr">
        <is>
          <t>West</t>
        </is>
      </c>
      <c r="C60" s="22" t="inlineStr">
        <is>
          <t>Product D</t>
        </is>
      </c>
      <c r="D60" s="22" t="inlineStr">
        <is>
          <t>Bob Martinez</t>
        </is>
      </c>
      <c r="E60" s="24" t="n">
        <v>15</v>
      </c>
      <c r="F60" s="23" t="n">
        <v>3450</v>
      </c>
      <c r="G60" s="70" t="n">
        <v>0.31</v>
      </c>
    </row>
    <row r="61">
      <c r="A61" s="71" t="n">
        <v>45365</v>
      </c>
      <c r="B61" s="26" t="inlineStr">
        <is>
          <t>South</t>
        </is>
      </c>
      <c r="C61" s="26" t="inlineStr">
        <is>
          <t>Product D</t>
        </is>
      </c>
      <c r="D61" s="26" t="inlineStr">
        <is>
          <t>Bob Martinez</t>
        </is>
      </c>
      <c r="E61" s="28" t="n">
        <v>28</v>
      </c>
      <c r="F61" s="27" t="n">
        <v>5824</v>
      </c>
      <c r="G61" s="72" t="n">
        <v>0.29</v>
      </c>
    </row>
    <row r="62">
      <c r="A62" s="69" t="n">
        <v>45375</v>
      </c>
      <c r="B62" s="22" t="inlineStr">
        <is>
          <t>West</t>
        </is>
      </c>
      <c r="C62" s="22" t="inlineStr">
        <is>
          <t>Product B</t>
        </is>
      </c>
      <c r="D62" s="22" t="inlineStr">
        <is>
          <t>Bob Martinez</t>
        </is>
      </c>
      <c r="E62" s="24" t="n">
        <v>32</v>
      </c>
      <c r="F62" s="23" t="n">
        <v>7552</v>
      </c>
      <c r="G62" s="70" t="n">
        <v>0.3</v>
      </c>
    </row>
    <row r="63">
      <c r="A63" s="71" t="n">
        <v>45377</v>
      </c>
      <c r="B63" s="26" t="inlineStr">
        <is>
          <t>South</t>
        </is>
      </c>
      <c r="C63" s="26" t="inlineStr">
        <is>
          <t>Product B</t>
        </is>
      </c>
      <c r="D63" s="26" t="inlineStr">
        <is>
          <t>Henry Patel</t>
        </is>
      </c>
      <c r="E63" s="28" t="n">
        <v>52</v>
      </c>
      <c r="F63" s="27" t="n">
        <v>7436</v>
      </c>
      <c r="G63" s="72" t="n">
        <v>0.29</v>
      </c>
    </row>
    <row r="64">
      <c r="A64" s="69" t="n">
        <v>45373</v>
      </c>
      <c r="B64" s="22" t="inlineStr">
        <is>
          <t>East</t>
        </is>
      </c>
      <c r="C64" s="22" t="inlineStr">
        <is>
          <t>Product B</t>
        </is>
      </c>
      <c r="D64" s="22" t="inlineStr">
        <is>
          <t>Bob Martinez</t>
        </is>
      </c>
      <c r="E64" s="24" t="n">
        <v>20</v>
      </c>
      <c r="F64" s="23" t="n">
        <v>2820</v>
      </c>
      <c r="G64" s="70" t="n">
        <v>0.38</v>
      </c>
    </row>
    <row r="65">
      <c r="A65" s="71" t="n">
        <v>45373</v>
      </c>
      <c r="B65" s="26" t="inlineStr">
        <is>
          <t>West</t>
        </is>
      </c>
      <c r="C65" s="26" t="inlineStr">
        <is>
          <t>Product D</t>
        </is>
      </c>
      <c r="D65" s="26" t="inlineStr">
        <is>
          <t>Bob Martinez</t>
        </is>
      </c>
      <c r="E65" s="28" t="n">
        <v>20</v>
      </c>
      <c r="F65" s="27" t="n">
        <v>2880</v>
      </c>
      <c r="G65" s="72" t="n">
        <v>0.33</v>
      </c>
    </row>
    <row r="66">
      <c r="A66" s="69" t="n">
        <v>45370</v>
      </c>
      <c r="B66" s="22" t="inlineStr">
        <is>
          <t>East</t>
        </is>
      </c>
      <c r="C66" s="22" t="inlineStr">
        <is>
          <t>Product D</t>
        </is>
      </c>
      <c r="D66" s="22" t="inlineStr">
        <is>
          <t>David Lee</t>
        </is>
      </c>
      <c r="E66" s="24" t="n">
        <v>11</v>
      </c>
      <c r="F66" s="23" t="n">
        <v>3113</v>
      </c>
      <c r="G66" s="70" t="n">
        <v>0.41</v>
      </c>
    </row>
    <row r="67">
      <c r="A67" s="71" t="n">
        <v>45353</v>
      </c>
      <c r="B67" s="26" t="inlineStr">
        <is>
          <t>West</t>
        </is>
      </c>
      <c r="C67" s="26" t="inlineStr">
        <is>
          <t>Product A</t>
        </is>
      </c>
      <c r="D67" s="26" t="inlineStr">
        <is>
          <t>Frank Brown</t>
        </is>
      </c>
      <c r="E67" s="28" t="n">
        <v>17</v>
      </c>
      <c r="F67" s="27" t="n">
        <v>1564</v>
      </c>
      <c r="G67" s="72" t="n">
        <v>0.42</v>
      </c>
    </row>
    <row r="68">
      <c r="A68" s="69" t="n">
        <v>45357</v>
      </c>
      <c r="B68" s="22" t="inlineStr">
        <is>
          <t>East</t>
        </is>
      </c>
      <c r="C68" s="22" t="inlineStr">
        <is>
          <t>Product C</t>
        </is>
      </c>
      <c r="D68" s="22" t="inlineStr">
        <is>
          <t>Alice Johnson</t>
        </is>
      </c>
      <c r="E68" s="24" t="n">
        <v>41</v>
      </c>
      <c r="F68" s="23" t="n">
        <v>8815</v>
      </c>
      <c r="G68" s="70" t="n">
        <v>0.32</v>
      </c>
    </row>
    <row r="69">
      <c r="A69" s="71" t="n">
        <v>45386</v>
      </c>
      <c r="B69" s="26" t="inlineStr">
        <is>
          <t>South</t>
        </is>
      </c>
      <c r="C69" s="26" t="inlineStr">
        <is>
          <t>Product C</t>
        </is>
      </c>
      <c r="D69" s="26" t="inlineStr">
        <is>
          <t>Grace Wu</t>
        </is>
      </c>
      <c r="E69" s="28" t="n">
        <v>14</v>
      </c>
      <c r="F69" s="27" t="n">
        <v>3612</v>
      </c>
      <c r="G69" s="72" t="n">
        <v>0.33</v>
      </c>
    </row>
    <row r="70">
      <c r="A70" s="69" t="n">
        <v>45391</v>
      </c>
      <c r="B70" s="22" t="inlineStr">
        <is>
          <t>South</t>
        </is>
      </c>
      <c r="C70" s="22" t="inlineStr">
        <is>
          <t>Product D</t>
        </is>
      </c>
      <c r="D70" s="22" t="inlineStr">
        <is>
          <t>Alice Johnson</t>
        </is>
      </c>
      <c r="E70" s="24" t="n">
        <v>6</v>
      </c>
      <c r="F70" s="23" t="n">
        <v>1020</v>
      </c>
      <c r="G70" s="70" t="n">
        <v>0.31</v>
      </c>
    </row>
    <row r="71">
      <c r="A71" s="71" t="n">
        <v>45402</v>
      </c>
      <c r="B71" s="26" t="inlineStr">
        <is>
          <t>North</t>
        </is>
      </c>
      <c r="C71" s="26" t="inlineStr">
        <is>
          <t>Product D</t>
        </is>
      </c>
      <c r="D71" s="26" t="inlineStr">
        <is>
          <t>Alice Johnson</t>
        </is>
      </c>
      <c r="E71" s="28" t="n">
        <v>27</v>
      </c>
      <c r="F71" s="27" t="n">
        <v>4347</v>
      </c>
      <c r="G71" s="72" t="n">
        <v>0.47</v>
      </c>
    </row>
    <row r="72">
      <c r="A72" s="69" t="n">
        <v>45390</v>
      </c>
      <c r="B72" s="22" t="inlineStr">
        <is>
          <t>South</t>
        </is>
      </c>
      <c r="C72" s="22" t="inlineStr">
        <is>
          <t>Product A</t>
        </is>
      </c>
      <c r="D72" s="22" t="inlineStr">
        <is>
          <t>Alice Johnson</t>
        </is>
      </c>
      <c r="E72" s="24" t="n">
        <v>6</v>
      </c>
      <c r="F72" s="23" t="n">
        <v>750</v>
      </c>
      <c r="G72" s="70" t="n">
        <v>0.3</v>
      </c>
    </row>
    <row r="73">
      <c r="A73" s="71" t="n">
        <v>45393</v>
      </c>
      <c r="B73" s="26" t="inlineStr">
        <is>
          <t>East</t>
        </is>
      </c>
      <c r="C73" s="26" t="inlineStr">
        <is>
          <t>Product A</t>
        </is>
      </c>
      <c r="D73" s="26" t="inlineStr">
        <is>
          <t>Alice Johnson</t>
        </is>
      </c>
      <c r="E73" s="28" t="n">
        <v>32</v>
      </c>
      <c r="F73" s="27" t="n">
        <v>3488</v>
      </c>
      <c r="G73" s="72" t="n">
        <v>0.41</v>
      </c>
    </row>
    <row r="74">
      <c r="A74" s="69" t="n">
        <v>45385</v>
      </c>
      <c r="B74" s="22" t="inlineStr">
        <is>
          <t>East</t>
        </is>
      </c>
      <c r="C74" s="22" t="inlineStr">
        <is>
          <t>Product D</t>
        </is>
      </c>
      <c r="D74" s="22" t="inlineStr">
        <is>
          <t>Grace Wu</t>
        </is>
      </c>
      <c r="E74" s="24" t="n">
        <v>40</v>
      </c>
      <c r="F74" s="23" t="n">
        <v>7040</v>
      </c>
      <c r="G74" s="70" t="n">
        <v>0.44</v>
      </c>
    </row>
    <row r="75">
      <c r="A75" s="71" t="n">
        <v>45403</v>
      </c>
      <c r="B75" s="26" t="inlineStr">
        <is>
          <t>East</t>
        </is>
      </c>
      <c r="C75" s="26" t="inlineStr">
        <is>
          <t>Product C</t>
        </is>
      </c>
      <c r="D75" s="26" t="inlineStr">
        <is>
          <t>Frank Brown</t>
        </is>
      </c>
      <c r="E75" s="28" t="n">
        <v>56</v>
      </c>
      <c r="F75" s="27" t="n">
        <v>6104</v>
      </c>
      <c r="G75" s="72" t="n">
        <v>0.32</v>
      </c>
    </row>
    <row r="76">
      <c r="A76" s="69" t="n">
        <v>45390</v>
      </c>
      <c r="B76" s="22" t="inlineStr">
        <is>
          <t>North</t>
        </is>
      </c>
      <c r="C76" s="22" t="inlineStr">
        <is>
          <t>Product A</t>
        </is>
      </c>
      <c r="D76" s="22" t="inlineStr">
        <is>
          <t>David Lee</t>
        </is>
      </c>
      <c r="E76" s="24" t="n">
        <v>22</v>
      </c>
      <c r="F76" s="23" t="n">
        <v>3586</v>
      </c>
      <c r="G76" s="70" t="n">
        <v>0.41</v>
      </c>
    </row>
    <row r="77">
      <c r="A77" s="71" t="n">
        <v>45391</v>
      </c>
      <c r="B77" s="26" t="inlineStr">
        <is>
          <t>East</t>
        </is>
      </c>
      <c r="C77" s="26" t="inlineStr">
        <is>
          <t>Product E</t>
        </is>
      </c>
      <c r="D77" s="26" t="inlineStr">
        <is>
          <t>David Lee</t>
        </is>
      </c>
      <c r="E77" s="28" t="n">
        <v>18</v>
      </c>
      <c r="F77" s="27" t="n">
        <v>3474</v>
      </c>
      <c r="G77" s="72" t="n">
        <v>0.42</v>
      </c>
    </row>
    <row r="78">
      <c r="A78" s="69" t="n">
        <v>45399</v>
      </c>
      <c r="B78" s="22" t="inlineStr">
        <is>
          <t>North</t>
        </is>
      </c>
      <c r="C78" s="22" t="inlineStr">
        <is>
          <t>Product E</t>
        </is>
      </c>
      <c r="D78" s="22" t="inlineStr">
        <is>
          <t>Eva Singh</t>
        </is>
      </c>
      <c r="E78" s="24" t="n">
        <v>9</v>
      </c>
      <c r="F78" s="23" t="n">
        <v>2502</v>
      </c>
      <c r="G78" s="70" t="n">
        <v>0.35</v>
      </c>
    </row>
    <row r="79">
      <c r="A79" s="71" t="n">
        <v>45406</v>
      </c>
      <c r="B79" s="26" t="inlineStr">
        <is>
          <t>North</t>
        </is>
      </c>
      <c r="C79" s="26" t="inlineStr">
        <is>
          <t>Product C</t>
        </is>
      </c>
      <c r="D79" s="26" t="inlineStr">
        <is>
          <t>Henry Patel</t>
        </is>
      </c>
      <c r="E79" s="28" t="n">
        <v>53</v>
      </c>
      <c r="F79" s="27" t="n">
        <v>15158</v>
      </c>
      <c r="G79" s="72" t="n">
        <v>0.43</v>
      </c>
    </row>
    <row r="80">
      <c r="A80" s="69" t="n">
        <v>45396</v>
      </c>
      <c r="B80" s="22" t="inlineStr">
        <is>
          <t>East</t>
        </is>
      </c>
      <c r="C80" s="22" t="inlineStr">
        <is>
          <t>Product E</t>
        </is>
      </c>
      <c r="D80" s="22" t="inlineStr">
        <is>
          <t>David Lee</t>
        </is>
      </c>
      <c r="E80" s="24" t="n">
        <v>43</v>
      </c>
      <c r="F80" s="23" t="n">
        <v>11051</v>
      </c>
      <c r="G80" s="70" t="n">
        <v>0.38</v>
      </c>
    </row>
    <row r="81">
      <c r="A81" s="71" t="n">
        <v>45410</v>
      </c>
      <c r="B81" s="26" t="inlineStr">
        <is>
          <t>North</t>
        </is>
      </c>
      <c r="C81" s="26" t="inlineStr">
        <is>
          <t>Product C</t>
        </is>
      </c>
      <c r="D81" s="26" t="inlineStr">
        <is>
          <t>Grace Wu</t>
        </is>
      </c>
      <c r="E81" s="28" t="n">
        <v>54</v>
      </c>
      <c r="F81" s="27" t="n">
        <v>7182</v>
      </c>
      <c r="G81" s="72" t="n">
        <v>0.27</v>
      </c>
    </row>
    <row r="82">
      <c r="A82" s="69" t="n">
        <v>45391</v>
      </c>
      <c r="B82" s="22" t="inlineStr">
        <is>
          <t>West</t>
        </is>
      </c>
      <c r="C82" s="22" t="inlineStr">
        <is>
          <t>Product D</t>
        </is>
      </c>
      <c r="D82" s="22" t="inlineStr">
        <is>
          <t>Frank Brown</t>
        </is>
      </c>
      <c r="E82" s="24" t="n">
        <v>43</v>
      </c>
      <c r="F82" s="23" t="n">
        <v>4343</v>
      </c>
      <c r="G82" s="70" t="n">
        <v>0.42</v>
      </c>
    </row>
    <row r="83">
      <c r="A83" s="71" t="n">
        <v>45384</v>
      </c>
      <c r="B83" s="26" t="inlineStr">
        <is>
          <t>North</t>
        </is>
      </c>
      <c r="C83" s="26" t="inlineStr">
        <is>
          <t>Product B</t>
        </is>
      </c>
      <c r="D83" s="26" t="inlineStr">
        <is>
          <t>Grace Wu</t>
        </is>
      </c>
      <c r="E83" s="28" t="n">
        <v>17</v>
      </c>
      <c r="F83" s="27" t="n">
        <v>3196</v>
      </c>
      <c r="G83" s="72" t="n">
        <v>0.47</v>
      </c>
    </row>
    <row r="84">
      <c r="A84" s="69" t="n">
        <v>45404</v>
      </c>
      <c r="B84" s="22" t="inlineStr">
        <is>
          <t>North</t>
        </is>
      </c>
      <c r="C84" s="22" t="inlineStr">
        <is>
          <t>Product A</t>
        </is>
      </c>
      <c r="D84" s="22" t="inlineStr">
        <is>
          <t>Bob Martinez</t>
        </is>
      </c>
      <c r="E84" s="24" t="n">
        <v>56</v>
      </c>
      <c r="F84" s="23" t="n">
        <v>9072</v>
      </c>
      <c r="G84" s="70" t="n">
        <v>0.3</v>
      </c>
    </row>
    <row r="85">
      <c r="A85" s="71" t="n">
        <v>45404</v>
      </c>
      <c r="B85" s="26" t="inlineStr">
        <is>
          <t>North</t>
        </is>
      </c>
      <c r="C85" s="26" t="inlineStr">
        <is>
          <t>Product A</t>
        </is>
      </c>
      <c r="D85" s="26" t="inlineStr">
        <is>
          <t>Grace Wu</t>
        </is>
      </c>
      <c r="E85" s="28" t="n">
        <v>58</v>
      </c>
      <c r="F85" s="27" t="n">
        <v>8874</v>
      </c>
      <c r="G85" s="72" t="n">
        <v>0.3</v>
      </c>
    </row>
    <row r="86">
      <c r="A86" s="69" t="n">
        <v>45387</v>
      </c>
      <c r="B86" s="22" t="inlineStr">
        <is>
          <t>East</t>
        </is>
      </c>
      <c r="C86" s="22" t="inlineStr">
        <is>
          <t>Product B</t>
        </is>
      </c>
      <c r="D86" s="22" t="inlineStr">
        <is>
          <t>Grace Wu</t>
        </is>
      </c>
      <c r="E86" s="24" t="n">
        <v>11</v>
      </c>
      <c r="F86" s="23" t="n">
        <v>1749</v>
      </c>
      <c r="G86" s="70" t="n">
        <v>0.46</v>
      </c>
    </row>
    <row r="87">
      <c r="A87" s="71" t="n">
        <v>45407</v>
      </c>
      <c r="B87" s="26" t="inlineStr">
        <is>
          <t>West</t>
        </is>
      </c>
      <c r="C87" s="26" t="inlineStr">
        <is>
          <t>Product D</t>
        </is>
      </c>
      <c r="D87" s="26" t="inlineStr">
        <is>
          <t>Bob Martinez</t>
        </is>
      </c>
      <c r="E87" s="28" t="n">
        <v>9</v>
      </c>
      <c r="F87" s="27" t="n">
        <v>1332</v>
      </c>
      <c r="G87" s="72" t="n">
        <v>0.49</v>
      </c>
    </row>
    <row r="88">
      <c r="A88" s="69" t="n">
        <v>45392</v>
      </c>
      <c r="B88" s="22" t="inlineStr">
        <is>
          <t>East</t>
        </is>
      </c>
      <c r="C88" s="22" t="inlineStr">
        <is>
          <t>Product B</t>
        </is>
      </c>
      <c r="D88" s="22" t="inlineStr">
        <is>
          <t>Eva Singh</t>
        </is>
      </c>
      <c r="E88" s="24" t="n">
        <v>51</v>
      </c>
      <c r="F88" s="23" t="n">
        <v>5661</v>
      </c>
      <c r="G88" s="70" t="n">
        <v>0.26</v>
      </c>
    </row>
    <row r="89">
      <c r="A89" s="71" t="n">
        <v>45402</v>
      </c>
      <c r="B89" s="26" t="inlineStr">
        <is>
          <t>North</t>
        </is>
      </c>
      <c r="C89" s="26" t="inlineStr">
        <is>
          <t>Product C</t>
        </is>
      </c>
      <c r="D89" s="26" t="inlineStr">
        <is>
          <t>Henry Patel</t>
        </is>
      </c>
      <c r="E89" s="28" t="n">
        <v>30</v>
      </c>
      <c r="F89" s="27" t="n">
        <v>3360</v>
      </c>
      <c r="G89" s="72" t="n">
        <v>0.47</v>
      </c>
    </row>
    <row r="90">
      <c r="A90" s="69" t="n">
        <v>45402</v>
      </c>
      <c r="B90" s="22" t="inlineStr">
        <is>
          <t>West</t>
        </is>
      </c>
      <c r="C90" s="22" t="inlineStr">
        <is>
          <t>Product B</t>
        </is>
      </c>
      <c r="D90" s="22" t="inlineStr">
        <is>
          <t>Eva Singh</t>
        </is>
      </c>
      <c r="E90" s="24" t="n">
        <v>58</v>
      </c>
      <c r="F90" s="23" t="n">
        <v>11252</v>
      </c>
      <c r="G90" s="70" t="n">
        <v>0.31</v>
      </c>
    </row>
    <row r="91">
      <c r="A91" s="71" t="n">
        <v>45391</v>
      </c>
      <c r="B91" s="26" t="inlineStr">
        <is>
          <t>South</t>
        </is>
      </c>
      <c r="C91" s="26" t="inlineStr">
        <is>
          <t>Product D</t>
        </is>
      </c>
      <c r="D91" s="26" t="inlineStr">
        <is>
          <t>Eva Singh</t>
        </is>
      </c>
      <c r="E91" s="28" t="n">
        <v>14</v>
      </c>
      <c r="F91" s="27" t="n">
        <v>1792</v>
      </c>
      <c r="G91" s="72" t="n">
        <v>0.33</v>
      </c>
    </row>
    <row r="92">
      <c r="A92" s="69" t="n">
        <v>45438</v>
      </c>
      <c r="B92" s="22" t="inlineStr">
        <is>
          <t>South</t>
        </is>
      </c>
      <c r="C92" s="22" t="inlineStr">
        <is>
          <t>Product E</t>
        </is>
      </c>
      <c r="D92" s="22" t="inlineStr">
        <is>
          <t>Frank Brown</t>
        </is>
      </c>
      <c r="E92" s="24" t="n">
        <v>43</v>
      </c>
      <c r="F92" s="23" t="n">
        <v>9116</v>
      </c>
      <c r="G92" s="70" t="n">
        <v>0.27</v>
      </c>
    </row>
    <row r="93">
      <c r="A93" s="71" t="n">
        <v>45430</v>
      </c>
      <c r="B93" s="26" t="inlineStr">
        <is>
          <t>West</t>
        </is>
      </c>
      <c r="C93" s="26" t="inlineStr">
        <is>
          <t>Product B</t>
        </is>
      </c>
      <c r="D93" s="26" t="inlineStr">
        <is>
          <t>Alice Johnson</t>
        </is>
      </c>
      <c r="E93" s="28" t="n">
        <v>26</v>
      </c>
      <c r="F93" s="27" t="n">
        <v>6890</v>
      </c>
      <c r="G93" s="72" t="n">
        <v>0.45</v>
      </c>
    </row>
    <row r="94">
      <c r="A94" s="69" t="n">
        <v>45425</v>
      </c>
      <c r="B94" s="22" t="inlineStr">
        <is>
          <t>North</t>
        </is>
      </c>
      <c r="C94" s="22" t="inlineStr">
        <is>
          <t>Product A</t>
        </is>
      </c>
      <c r="D94" s="22" t="inlineStr">
        <is>
          <t>Grace Wu</t>
        </is>
      </c>
      <c r="E94" s="24" t="n">
        <v>10</v>
      </c>
      <c r="F94" s="23" t="n">
        <v>1880</v>
      </c>
      <c r="G94" s="70" t="n">
        <v>0.36</v>
      </c>
    </row>
    <row r="95">
      <c r="A95" s="71" t="n">
        <v>45415</v>
      </c>
      <c r="B95" s="26" t="inlineStr">
        <is>
          <t>North</t>
        </is>
      </c>
      <c r="C95" s="26" t="inlineStr">
        <is>
          <t>Product B</t>
        </is>
      </c>
      <c r="D95" s="26" t="inlineStr">
        <is>
          <t>Bob Martinez</t>
        </is>
      </c>
      <c r="E95" s="28" t="n">
        <v>54</v>
      </c>
      <c r="F95" s="27" t="n">
        <v>7614</v>
      </c>
      <c r="G95" s="72" t="n">
        <v>0.32</v>
      </c>
    </row>
    <row r="96">
      <c r="A96" s="69" t="n">
        <v>45416</v>
      </c>
      <c r="B96" s="22" t="inlineStr">
        <is>
          <t>South</t>
        </is>
      </c>
      <c r="C96" s="22" t="inlineStr">
        <is>
          <t>Product C</t>
        </is>
      </c>
      <c r="D96" s="22" t="inlineStr">
        <is>
          <t>Eva Singh</t>
        </is>
      </c>
      <c r="E96" s="24" t="n">
        <v>16</v>
      </c>
      <c r="F96" s="23" t="n">
        <v>4656</v>
      </c>
      <c r="G96" s="70" t="n">
        <v>0.39</v>
      </c>
    </row>
    <row r="97">
      <c r="A97" s="71" t="n">
        <v>45433</v>
      </c>
      <c r="B97" s="26" t="inlineStr">
        <is>
          <t>South</t>
        </is>
      </c>
      <c r="C97" s="26" t="inlineStr">
        <is>
          <t>Product A</t>
        </is>
      </c>
      <c r="D97" s="26" t="inlineStr">
        <is>
          <t>Bob Martinez</t>
        </is>
      </c>
      <c r="E97" s="28" t="n">
        <v>25</v>
      </c>
      <c r="F97" s="27" t="n">
        <v>2150</v>
      </c>
      <c r="G97" s="72" t="n">
        <v>0.49</v>
      </c>
    </row>
    <row r="98">
      <c r="A98" s="69" t="n">
        <v>45419</v>
      </c>
      <c r="B98" s="22" t="inlineStr">
        <is>
          <t>East</t>
        </is>
      </c>
      <c r="C98" s="22" t="inlineStr">
        <is>
          <t>Product D</t>
        </is>
      </c>
      <c r="D98" s="22" t="inlineStr">
        <is>
          <t>Frank Brown</t>
        </is>
      </c>
      <c r="E98" s="24" t="n">
        <v>37</v>
      </c>
      <c r="F98" s="23" t="n">
        <v>3330</v>
      </c>
      <c r="G98" s="70" t="n">
        <v>0.36</v>
      </c>
    </row>
    <row r="99">
      <c r="A99" s="71" t="n">
        <v>45421</v>
      </c>
      <c r="B99" s="26" t="inlineStr">
        <is>
          <t>West</t>
        </is>
      </c>
      <c r="C99" s="26" t="inlineStr">
        <is>
          <t>Product E</t>
        </is>
      </c>
      <c r="D99" s="26" t="inlineStr">
        <is>
          <t>Frank Brown</t>
        </is>
      </c>
      <c r="E99" s="28" t="n">
        <v>18</v>
      </c>
      <c r="F99" s="27" t="n">
        <v>3042</v>
      </c>
      <c r="G99" s="72" t="n">
        <v>0.28</v>
      </c>
    </row>
    <row r="100">
      <c r="A100" s="69" t="n">
        <v>45435</v>
      </c>
      <c r="B100" s="22" t="inlineStr">
        <is>
          <t>East</t>
        </is>
      </c>
      <c r="C100" s="22" t="inlineStr">
        <is>
          <t>Product E</t>
        </is>
      </c>
      <c r="D100" s="22" t="inlineStr">
        <is>
          <t>David Lee</t>
        </is>
      </c>
      <c r="E100" s="24" t="n">
        <v>59</v>
      </c>
      <c r="F100" s="23" t="n">
        <v>7847</v>
      </c>
      <c r="G100" s="70" t="n">
        <v>0.45</v>
      </c>
    </row>
    <row r="101">
      <c r="A101" s="71" t="n">
        <v>45433</v>
      </c>
      <c r="B101" s="26" t="inlineStr">
        <is>
          <t>West</t>
        </is>
      </c>
      <c r="C101" s="26" t="inlineStr">
        <is>
          <t>Product D</t>
        </is>
      </c>
      <c r="D101" s="26" t="inlineStr">
        <is>
          <t>Clara Kim</t>
        </is>
      </c>
      <c r="E101" s="28" t="n">
        <v>43</v>
      </c>
      <c r="F101" s="27" t="n">
        <v>7224</v>
      </c>
      <c r="G101" s="72" t="n">
        <v>0.39</v>
      </c>
    </row>
    <row r="102">
      <c r="A102" s="69" t="n">
        <v>45436</v>
      </c>
      <c r="B102" s="22" t="inlineStr">
        <is>
          <t>East</t>
        </is>
      </c>
      <c r="C102" s="22" t="inlineStr">
        <is>
          <t>Product A</t>
        </is>
      </c>
      <c r="D102" s="22" t="inlineStr">
        <is>
          <t>Alice Johnson</t>
        </is>
      </c>
      <c r="E102" s="24" t="n">
        <v>43</v>
      </c>
      <c r="F102" s="23" t="n">
        <v>9933</v>
      </c>
      <c r="G102" s="70" t="n">
        <v>0.34</v>
      </c>
    </row>
    <row r="103">
      <c r="A103" s="71" t="n">
        <v>45417</v>
      </c>
      <c r="B103" s="26" t="inlineStr">
        <is>
          <t>West</t>
        </is>
      </c>
      <c r="C103" s="26" t="inlineStr">
        <is>
          <t>Product A</t>
        </is>
      </c>
      <c r="D103" s="26" t="inlineStr">
        <is>
          <t>Bob Martinez</t>
        </is>
      </c>
      <c r="E103" s="28" t="n">
        <v>39</v>
      </c>
      <c r="F103" s="27" t="n">
        <v>6279</v>
      </c>
      <c r="G103" s="72" t="n">
        <v>0.49</v>
      </c>
    </row>
    <row r="104">
      <c r="A104" s="69" t="n">
        <v>45430</v>
      </c>
      <c r="B104" s="22" t="inlineStr">
        <is>
          <t>East</t>
        </is>
      </c>
      <c r="C104" s="22" t="inlineStr">
        <is>
          <t>Product C</t>
        </is>
      </c>
      <c r="D104" s="22" t="inlineStr">
        <is>
          <t>Clara Kim</t>
        </is>
      </c>
      <c r="E104" s="24" t="n">
        <v>40</v>
      </c>
      <c r="F104" s="23" t="n">
        <v>6560</v>
      </c>
      <c r="G104" s="70" t="n">
        <v>0.42</v>
      </c>
    </row>
    <row r="105">
      <c r="A105" s="71" t="n">
        <v>45437</v>
      </c>
      <c r="B105" s="26" t="inlineStr">
        <is>
          <t>North</t>
        </is>
      </c>
      <c r="C105" s="26" t="inlineStr">
        <is>
          <t>Product E</t>
        </is>
      </c>
      <c r="D105" s="26" t="inlineStr">
        <is>
          <t>Eva Singh</t>
        </is>
      </c>
      <c r="E105" s="28" t="n">
        <v>7</v>
      </c>
      <c r="F105" s="27" t="n">
        <v>1750</v>
      </c>
      <c r="G105" s="72" t="n">
        <v>0.48</v>
      </c>
    </row>
    <row r="106">
      <c r="A106" s="69" t="n">
        <v>45426</v>
      </c>
      <c r="B106" s="22" t="inlineStr">
        <is>
          <t>South</t>
        </is>
      </c>
      <c r="C106" s="22" t="inlineStr">
        <is>
          <t>Product B</t>
        </is>
      </c>
      <c r="D106" s="22" t="inlineStr">
        <is>
          <t>Alice Johnson</t>
        </is>
      </c>
      <c r="E106" s="24" t="n">
        <v>16</v>
      </c>
      <c r="F106" s="23" t="n">
        <v>3840</v>
      </c>
      <c r="G106" s="70" t="n">
        <v>0.27</v>
      </c>
    </row>
    <row r="107">
      <c r="A107" s="71" t="n">
        <v>45425</v>
      </c>
      <c r="B107" s="26" t="inlineStr">
        <is>
          <t>West</t>
        </is>
      </c>
      <c r="C107" s="26" t="inlineStr">
        <is>
          <t>Product E</t>
        </is>
      </c>
      <c r="D107" s="26" t="inlineStr">
        <is>
          <t>Grace Wu</t>
        </is>
      </c>
      <c r="E107" s="28" t="n">
        <v>28</v>
      </c>
      <c r="F107" s="27" t="n">
        <v>6468</v>
      </c>
      <c r="G107" s="72" t="n">
        <v>0.41</v>
      </c>
    </row>
    <row r="108">
      <c r="A108" s="69" t="n">
        <v>45425</v>
      </c>
      <c r="B108" s="22" t="inlineStr">
        <is>
          <t>East</t>
        </is>
      </c>
      <c r="C108" s="22" t="inlineStr">
        <is>
          <t>Product A</t>
        </is>
      </c>
      <c r="D108" s="22" t="inlineStr">
        <is>
          <t>David Lee</t>
        </is>
      </c>
      <c r="E108" s="24" t="n">
        <v>54</v>
      </c>
      <c r="F108" s="23" t="n">
        <v>9180</v>
      </c>
      <c r="G108" s="70" t="n">
        <v>0.28</v>
      </c>
    </row>
    <row r="109">
      <c r="A109" s="71" t="n">
        <v>45421</v>
      </c>
      <c r="B109" s="26" t="inlineStr">
        <is>
          <t>North</t>
        </is>
      </c>
      <c r="C109" s="26" t="inlineStr">
        <is>
          <t>Product A</t>
        </is>
      </c>
      <c r="D109" s="26" t="inlineStr">
        <is>
          <t>Frank Brown</t>
        </is>
      </c>
      <c r="E109" s="28" t="n">
        <v>29</v>
      </c>
      <c r="F109" s="27" t="n">
        <v>4640</v>
      </c>
      <c r="G109" s="72" t="n">
        <v>0.4</v>
      </c>
    </row>
    <row r="110">
      <c r="A110" s="69" t="n">
        <v>45431</v>
      </c>
      <c r="B110" s="22" t="inlineStr">
        <is>
          <t>North</t>
        </is>
      </c>
      <c r="C110" s="22" t="inlineStr">
        <is>
          <t>Product E</t>
        </is>
      </c>
      <c r="D110" s="22" t="inlineStr">
        <is>
          <t>Eva Singh</t>
        </is>
      </c>
      <c r="E110" s="24" t="n">
        <v>22</v>
      </c>
      <c r="F110" s="23" t="n">
        <v>4048</v>
      </c>
      <c r="G110" s="70" t="n">
        <v>0.47</v>
      </c>
    </row>
    <row r="111">
      <c r="A111" s="71" t="n">
        <v>45417</v>
      </c>
      <c r="B111" s="26" t="inlineStr">
        <is>
          <t>South</t>
        </is>
      </c>
      <c r="C111" s="26" t="inlineStr">
        <is>
          <t>Product C</t>
        </is>
      </c>
      <c r="D111" s="26" t="inlineStr">
        <is>
          <t>Alice Johnson</t>
        </is>
      </c>
      <c r="E111" s="28" t="n">
        <v>40</v>
      </c>
      <c r="F111" s="27" t="n">
        <v>8400</v>
      </c>
      <c r="G111" s="72" t="n">
        <v>0.38</v>
      </c>
    </row>
    <row r="112">
      <c r="A112" s="69" t="n">
        <v>45451</v>
      </c>
      <c r="B112" s="22" t="inlineStr">
        <is>
          <t>West</t>
        </is>
      </c>
      <c r="C112" s="22" t="inlineStr">
        <is>
          <t>Product E</t>
        </is>
      </c>
      <c r="D112" s="22" t="inlineStr">
        <is>
          <t>Clara Kim</t>
        </is>
      </c>
      <c r="E112" s="24" t="n">
        <v>21</v>
      </c>
      <c r="F112" s="23" t="n">
        <v>3297</v>
      </c>
      <c r="G112" s="70" t="n">
        <v>0.36</v>
      </c>
    </row>
    <row r="113">
      <c r="A113" s="71" t="n">
        <v>45456</v>
      </c>
      <c r="B113" s="26" t="inlineStr">
        <is>
          <t>North</t>
        </is>
      </c>
      <c r="C113" s="26" t="inlineStr">
        <is>
          <t>Product C</t>
        </is>
      </c>
      <c r="D113" s="26" t="inlineStr">
        <is>
          <t>Alice Johnson</t>
        </is>
      </c>
      <c r="E113" s="28" t="n">
        <v>36</v>
      </c>
      <c r="F113" s="27" t="n">
        <v>4968</v>
      </c>
      <c r="G113" s="72" t="n">
        <v>0.37</v>
      </c>
    </row>
    <row r="114">
      <c r="A114" s="69" t="n">
        <v>45446</v>
      </c>
      <c r="B114" s="22" t="inlineStr">
        <is>
          <t>West</t>
        </is>
      </c>
      <c r="C114" s="22" t="inlineStr">
        <is>
          <t>Product C</t>
        </is>
      </c>
      <c r="D114" s="22" t="inlineStr">
        <is>
          <t>David Lee</t>
        </is>
      </c>
      <c r="E114" s="24" t="n">
        <v>54</v>
      </c>
      <c r="F114" s="23" t="n">
        <v>11286</v>
      </c>
      <c r="G114" s="70" t="n">
        <v>0.5</v>
      </c>
    </row>
    <row r="115">
      <c r="A115" s="71" t="n">
        <v>45448</v>
      </c>
      <c r="B115" s="26" t="inlineStr">
        <is>
          <t>West</t>
        </is>
      </c>
      <c r="C115" s="26" t="inlineStr">
        <is>
          <t>Product A</t>
        </is>
      </c>
      <c r="D115" s="26" t="inlineStr">
        <is>
          <t>Frank Brown</t>
        </is>
      </c>
      <c r="E115" s="28" t="n">
        <v>40</v>
      </c>
      <c r="F115" s="27" t="n">
        <v>4520</v>
      </c>
      <c r="G115" s="72" t="n">
        <v>0.49</v>
      </c>
    </row>
    <row r="116">
      <c r="A116" s="69" t="n">
        <v>45455</v>
      </c>
      <c r="B116" s="22" t="inlineStr">
        <is>
          <t>North</t>
        </is>
      </c>
      <c r="C116" s="22" t="inlineStr">
        <is>
          <t>Product A</t>
        </is>
      </c>
      <c r="D116" s="22" t="inlineStr">
        <is>
          <t>Alice Johnson</t>
        </is>
      </c>
      <c r="E116" s="24" t="n">
        <v>58</v>
      </c>
      <c r="F116" s="23" t="n">
        <v>7830</v>
      </c>
      <c r="G116" s="70" t="n">
        <v>0.43</v>
      </c>
    </row>
    <row r="117">
      <c r="A117" s="71" t="n">
        <v>45444</v>
      </c>
      <c r="B117" s="26" t="inlineStr">
        <is>
          <t>West</t>
        </is>
      </c>
      <c r="C117" s="26" t="inlineStr">
        <is>
          <t>Product B</t>
        </is>
      </c>
      <c r="D117" s="26" t="inlineStr">
        <is>
          <t>Henry Patel</t>
        </is>
      </c>
      <c r="E117" s="28" t="n">
        <v>36</v>
      </c>
      <c r="F117" s="27" t="n">
        <v>8712</v>
      </c>
      <c r="G117" s="72" t="n">
        <v>0.43</v>
      </c>
    </row>
    <row r="118">
      <c r="A118" s="69" t="n">
        <v>45450</v>
      </c>
      <c r="B118" s="22" t="inlineStr">
        <is>
          <t>North</t>
        </is>
      </c>
      <c r="C118" s="22" t="inlineStr">
        <is>
          <t>Product E</t>
        </is>
      </c>
      <c r="D118" s="22" t="inlineStr">
        <is>
          <t>David Lee</t>
        </is>
      </c>
      <c r="E118" s="24" t="n">
        <v>14</v>
      </c>
      <c r="F118" s="23" t="n">
        <v>3402</v>
      </c>
      <c r="G118" s="70" t="n">
        <v>0.36</v>
      </c>
    </row>
    <row r="119">
      <c r="A119" s="71" t="n">
        <v>45448</v>
      </c>
      <c r="B119" s="26" t="inlineStr">
        <is>
          <t>West</t>
        </is>
      </c>
      <c r="C119" s="26" t="inlineStr">
        <is>
          <t>Product C</t>
        </is>
      </c>
      <c r="D119" s="26" t="inlineStr">
        <is>
          <t>Alice Johnson</t>
        </is>
      </c>
      <c r="E119" s="28" t="n">
        <v>54</v>
      </c>
      <c r="F119" s="27" t="n">
        <v>15768</v>
      </c>
      <c r="G119" s="72" t="n">
        <v>0.43</v>
      </c>
    </row>
    <row r="120">
      <c r="A120" s="69" t="n">
        <v>45445</v>
      </c>
      <c r="B120" s="22" t="inlineStr">
        <is>
          <t>East</t>
        </is>
      </c>
      <c r="C120" s="22" t="inlineStr">
        <is>
          <t>Product A</t>
        </is>
      </c>
      <c r="D120" s="22" t="inlineStr">
        <is>
          <t>Alice Johnson</t>
        </is>
      </c>
      <c r="E120" s="24" t="n">
        <v>48</v>
      </c>
      <c r="F120" s="23" t="n">
        <v>6864</v>
      </c>
      <c r="G120" s="70" t="n">
        <v>0.39</v>
      </c>
    </row>
    <row r="121">
      <c r="A121" s="71" t="n">
        <v>45471</v>
      </c>
      <c r="B121" s="26" t="inlineStr">
        <is>
          <t>East</t>
        </is>
      </c>
      <c r="C121" s="26" t="inlineStr">
        <is>
          <t>Product D</t>
        </is>
      </c>
      <c r="D121" s="26" t="inlineStr">
        <is>
          <t>Clara Kim</t>
        </is>
      </c>
      <c r="E121" s="28" t="n">
        <v>23</v>
      </c>
      <c r="F121" s="27" t="n">
        <v>5198</v>
      </c>
      <c r="G121" s="72" t="n">
        <v>0.34</v>
      </c>
    </row>
    <row r="122">
      <c r="A122" s="69" t="n">
        <v>45448</v>
      </c>
      <c r="B122" s="22" t="inlineStr">
        <is>
          <t>North</t>
        </is>
      </c>
      <c r="C122" s="22" t="inlineStr">
        <is>
          <t>Product C</t>
        </is>
      </c>
      <c r="D122" s="22" t="inlineStr">
        <is>
          <t>Frank Brown</t>
        </is>
      </c>
      <c r="E122" s="24" t="n">
        <v>39</v>
      </c>
      <c r="F122" s="23" t="n">
        <v>11505</v>
      </c>
      <c r="G122" s="70" t="n">
        <v>0.3</v>
      </c>
    </row>
    <row r="123">
      <c r="A123" s="71" t="n">
        <v>45457</v>
      </c>
      <c r="B123" s="26" t="inlineStr">
        <is>
          <t>East</t>
        </is>
      </c>
      <c r="C123" s="26" t="inlineStr">
        <is>
          <t>Product B</t>
        </is>
      </c>
      <c r="D123" s="26" t="inlineStr">
        <is>
          <t>Eva Singh</t>
        </is>
      </c>
      <c r="E123" s="28" t="n">
        <v>35</v>
      </c>
      <c r="F123" s="27" t="n">
        <v>10325</v>
      </c>
      <c r="G123" s="72" t="n">
        <v>0.27</v>
      </c>
    </row>
    <row r="124">
      <c r="A124" s="69" t="n">
        <v>45466</v>
      </c>
      <c r="B124" s="22" t="inlineStr">
        <is>
          <t>West</t>
        </is>
      </c>
      <c r="C124" s="22" t="inlineStr">
        <is>
          <t>Product C</t>
        </is>
      </c>
      <c r="D124" s="22" t="inlineStr">
        <is>
          <t>Eva Singh</t>
        </is>
      </c>
      <c r="E124" s="24" t="n">
        <v>35</v>
      </c>
      <c r="F124" s="23" t="n">
        <v>2800</v>
      </c>
      <c r="G124" s="70" t="n">
        <v>0.39</v>
      </c>
    </row>
    <row r="125">
      <c r="A125" s="71" t="n">
        <v>45468</v>
      </c>
      <c r="B125" s="26" t="inlineStr">
        <is>
          <t>North</t>
        </is>
      </c>
      <c r="C125" s="26" t="inlineStr">
        <is>
          <t>Product C</t>
        </is>
      </c>
      <c r="D125" s="26" t="inlineStr">
        <is>
          <t>David Lee</t>
        </is>
      </c>
      <c r="E125" s="28" t="n">
        <v>16</v>
      </c>
      <c r="F125" s="27" t="n">
        <v>4032</v>
      </c>
      <c r="G125" s="72" t="n">
        <v>0.47</v>
      </c>
    </row>
    <row r="126">
      <c r="A126" s="69" t="n">
        <v>45466</v>
      </c>
      <c r="B126" s="22" t="inlineStr">
        <is>
          <t>North</t>
        </is>
      </c>
      <c r="C126" s="22" t="inlineStr">
        <is>
          <t>Product B</t>
        </is>
      </c>
      <c r="D126" s="22" t="inlineStr">
        <is>
          <t>David Lee</t>
        </is>
      </c>
      <c r="E126" s="24" t="n">
        <v>24</v>
      </c>
      <c r="F126" s="23" t="n">
        <v>3480</v>
      </c>
      <c r="G126" s="70" t="n">
        <v>0.33</v>
      </c>
    </row>
    <row r="127">
      <c r="A127" s="71" t="n">
        <v>45455</v>
      </c>
      <c r="B127" s="26" t="inlineStr">
        <is>
          <t>West</t>
        </is>
      </c>
      <c r="C127" s="26" t="inlineStr">
        <is>
          <t>Product B</t>
        </is>
      </c>
      <c r="D127" s="26" t="inlineStr">
        <is>
          <t>Eva Singh</t>
        </is>
      </c>
      <c r="E127" s="28" t="n">
        <v>28</v>
      </c>
      <c r="F127" s="27" t="n">
        <v>7840</v>
      </c>
      <c r="G127" s="72" t="n">
        <v>0.29</v>
      </c>
    </row>
    <row r="128">
      <c r="A128" s="69" t="n">
        <v>45448</v>
      </c>
      <c r="B128" s="22" t="inlineStr">
        <is>
          <t>West</t>
        </is>
      </c>
      <c r="C128" s="22" t="inlineStr">
        <is>
          <t>Product D</t>
        </is>
      </c>
      <c r="D128" s="22" t="inlineStr">
        <is>
          <t>Eva Singh</t>
        </is>
      </c>
      <c r="E128" s="24" t="n">
        <v>52</v>
      </c>
      <c r="F128" s="23" t="n">
        <v>15288</v>
      </c>
      <c r="G128" s="70" t="n">
        <v>0.37</v>
      </c>
    </row>
    <row r="129">
      <c r="A129" s="71" t="n">
        <v>45454</v>
      </c>
      <c r="B129" s="26" t="inlineStr">
        <is>
          <t>South</t>
        </is>
      </c>
      <c r="C129" s="26" t="inlineStr">
        <is>
          <t>Product C</t>
        </is>
      </c>
      <c r="D129" s="26" t="inlineStr">
        <is>
          <t>Clara Kim</t>
        </is>
      </c>
      <c r="E129" s="28" t="n">
        <v>49</v>
      </c>
      <c r="F129" s="27" t="n">
        <v>11613</v>
      </c>
      <c r="G129" s="72" t="n">
        <v>0.26</v>
      </c>
    </row>
    <row r="130">
      <c r="A130" s="69" t="n">
        <v>45456</v>
      </c>
      <c r="B130" s="22" t="inlineStr">
        <is>
          <t>South</t>
        </is>
      </c>
      <c r="C130" s="22" t="inlineStr">
        <is>
          <t>Product D</t>
        </is>
      </c>
      <c r="D130" s="22" t="inlineStr">
        <is>
          <t>David Lee</t>
        </is>
      </c>
      <c r="E130" s="24" t="n">
        <v>37</v>
      </c>
      <c r="F130" s="23" t="n">
        <v>4070</v>
      </c>
      <c r="G130" s="70" t="n">
        <v>0.45</v>
      </c>
    </row>
    <row r="131">
      <c r="A131" s="71" t="n">
        <v>45456</v>
      </c>
      <c r="B131" s="26" t="inlineStr">
        <is>
          <t>East</t>
        </is>
      </c>
      <c r="C131" s="26" t="inlineStr">
        <is>
          <t>Product D</t>
        </is>
      </c>
      <c r="D131" s="26" t="inlineStr">
        <is>
          <t>Frank Brown</t>
        </is>
      </c>
      <c r="E131" s="28" t="n">
        <v>26</v>
      </c>
      <c r="F131" s="27" t="n">
        <v>3510</v>
      </c>
      <c r="G131" s="72" t="n">
        <v>0.43</v>
      </c>
    </row>
    <row r="132">
      <c r="A132" s="69" t="n">
        <v>45481</v>
      </c>
      <c r="B132" s="22" t="inlineStr">
        <is>
          <t>South</t>
        </is>
      </c>
      <c r="C132" s="22" t="inlineStr">
        <is>
          <t>Product D</t>
        </is>
      </c>
      <c r="D132" s="22" t="inlineStr">
        <is>
          <t>Clara Kim</t>
        </is>
      </c>
      <c r="E132" s="24" t="n">
        <v>20</v>
      </c>
      <c r="F132" s="23" t="n">
        <v>5240</v>
      </c>
      <c r="G132" s="70" t="n">
        <v>0.35</v>
      </c>
    </row>
    <row r="133">
      <c r="A133" s="71" t="n">
        <v>45481</v>
      </c>
      <c r="B133" s="26" t="inlineStr">
        <is>
          <t>East</t>
        </is>
      </c>
      <c r="C133" s="26" t="inlineStr">
        <is>
          <t>Product A</t>
        </is>
      </c>
      <c r="D133" s="26" t="inlineStr">
        <is>
          <t>Clara Kim</t>
        </is>
      </c>
      <c r="E133" s="28" t="n">
        <v>8</v>
      </c>
      <c r="F133" s="27" t="n">
        <v>2120</v>
      </c>
      <c r="G133" s="72" t="n">
        <v>0.26</v>
      </c>
    </row>
    <row r="134">
      <c r="A134" s="69" t="n">
        <v>45494</v>
      </c>
      <c r="B134" s="22" t="inlineStr">
        <is>
          <t>West</t>
        </is>
      </c>
      <c r="C134" s="22" t="inlineStr">
        <is>
          <t>Product D</t>
        </is>
      </c>
      <c r="D134" s="22" t="inlineStr">
        <is>
          <t>David Lee</t>
        </is>
      </c>
      <c r="E134" s="24" t="n">
        <v>51</v>
      </c>
      <c r="F134" s="23" t="n">
        <v>7497</v>
      </c>
      <c r="G134" s="70" t="n">
        <v>0.36</v>
      </c>
    </row>
    <row r="135">
      <c r="A135" s="71" t="n">
        <v>45490</v>
      </c>
      <c r="B135" s="26" t="inlineStr">
        <is>
          <t>North</t>
        </is>
      </c>
      <c r="C135" s="26" t="inlineStr">
        <is>
          <t>Product B</t>
        </is>
      </c>
      <c r="D135" s="26" t="inlineStr">
        <is>
          <t>Grace Wu</t>
        </is>
      </c>
      <c r="E135" s="28" t="n">
        <v>43</v>
      </c>
      <c r="F135" s="27" t="n">
        <v>10492</v>
      </c>
      <c r="G135" s="72" t="n">
        <v>0.36</v>
      </c>
    </row>
    <row r="136">
      <c r="A136" s="69" t="n">
        <v>45482</v>
      </c>
      <c r="B136" s="22" t="inlineStr">
        <is>
          <t>South</t>
        </is>
      </c>
      <c r="C136" s="22" t="inlineStr">
        <is>
          <t>Product E</t>
        </is>
      </c>
      <c r="D136" s="22" t="inlineStr">
        <is>
          <t>Clara Kim</t>
        </is>
      </c>
      <c r="E136" s="24" t="n">
        <v>35</v>
      </c>
      <c r="F136" s="23" t="n">
        <v>7875</v>
      </c>
      <c r="G136" s="70" t="n">
        <v>0.34</v>
      </c>
    </row>
    <row r="137">
      <c r="A137" s="71" t="n">
        <v>45500</v>
      </c>
      <c r="B137" s="26" t="inlineStr">
        <is>
          <t>South</t>
        </is>
      </c>
      <c r="C137" s="26" t="inlineStr">
        <is>
          <t>Product D</t>
        </is>
      </c>
      <c r="D137" s="26" t="inlineStr">
        <is>
          <t>Henry Patel</t>
        </is>
      </c>
      <c r="E137" s="28" t="n">
        <v>34</v>
      </c>
      <c r="F137" s="27" t="n">
        <v>4284</v>
      </c>
      <c r="G137" s="72" t="n">
        <v>0.36</v>
      </c>
    </row>
    <row r="138">
      <c r="A138" s="69" t="n">
        <v>45490</v>
      </c>
      <c r="B138" s="22" t="inlineStr">
        <is>
          <t>West</t>
        </is>
      </c>
      <c r="C138" s="22" t="inlineStr">
        <is>
          <t>Product E</t>
        </is>
      </c>
      <c r="D138" s="22" t="inlineStr">
        <is>
          <t>Eva Singh</t>
        </is>
      </c>
      <c r="E138" s="24" t="n">
        <v>39</v>
      </c>
      <c r="F138" s="23" t="n">
        <v>7566</v>
      </c>
      <c r="G138" s="70" t="n">
        <v>0.4</v>
      </c>
    </row>
    <row r="139">
      <c r="A139" s="71" t="n">
        <v>45498</v>
      </c>
      <c r="B139" s="26" t="inlineStr">
        <is>
          <t>North</t>
        </is>
      </c>
      <c r="C139" s="26" t="inlineStr">
        <is>
          <t>Product D</t>
        </is>
      </c>
      <c r="D139" s="26" t="inlineStr">
        <is>
          <t>Alice Johnson</t>
        </is>
      </c>
      <c r="E139" s="28" t="n">
        <v>48</v>
      </c>
      <c r="F139" s="27" t="n">
        <v>9408</v>
      </c>
      <c r="G139" s="72" t="n">
        <v>0.3</v>
      </c>
    </row>
    <row r="140">
      <c r="A140" s="69" t="n">
        <v>45485</v>
      </c>
      <c r="B140" s="22" t="inlineStr">
        <is>
          <t>West</t>
        </is>
      </c>
      <c r="C140" s="22" t="inlineStr">
        <is>
          <t>Product A</t>
        </is>
      </c>
      <c r="D140" s="22" t="inlineStr">
        <is>
          <t>Grace Wu</t>
        </is>
      </c>
      <c r="E140" s="24" t="n">
        <v>32</v>
      </c>
      <c r="F140" s="23" t="n">
        <v>5120</v>
      </c>
      <c r="G140" s="70" t="n">
        <v>0.46</v>
      </c>
    </row>
    <row r="141">
      <c r="A141" s="71" t="n">
        <v>45497</v>
      </c>
      <c r="B141" s="26" t="inlineStr">
        <is>
          <t>South</t>
        </is>
      </c>
      <c r="C141" s="26" t="inlineStr">
        <is>
          <t>Product B</t>
        </is>
      </c>
      <c r="D141" s="26" t="inlineStr">
        <is>
          <t>Bob Martinez</t>
        </is>
      </c>
      <c r="E141" s="28" t="n">
        <v>40</v>
      </c>
      <c r="F141" s="27" t="n">
        <v>7560</v>
      </c>
      <c r="G141" s="72" t="n">
        <v>0.49</v>
      </c>
    </row>
    <row r="142">
      <c r="A142" s="69" t="n">
        <v>45498</v>
      </c>
      <c r="B142" s="22" t="inlineStr">
        <is>
          <t>North</t>
        </is>
      </c>
      <c r="C142" s="22" t="inlineStr">
        <is>
          <t>Product A</t>
        </is>
      </c>
      <c r="D142" s="22" t="inlineStr">
        <is>
          <t>Clara Kim</t>
        </is>
      </c>
      <c r="E142" s="24" t="n">
        <v>42</v>
      </c>
      <c r="F142" s="23" t="n">
        <v>11340</v>
      </c>
      <c r="G142" s="70" t="n">
        <v>0.3</v>
      </c>
    </row>
    <row r="143">
      <c r="A143" s="71" t="n">
        <v>45481</v>
      </c>
      <c r="B143" s="26" t="inlineStr">
        <is>
          <t>East</t>
        </is>
      </c>
      <c r="C143" s="26" t="inlineStr">
        <is>
          <t>Product A</t>
        </is>
      </c>
      <c r="D143" s="26" t="inlineStr">
        <is>
          <t>Frank Brown</t>
        </is>
      </c>
      <c r="E143" s="28" t="n">
        <v>50</v>
      </c>
      <c r="F143" s="27" t="n">
        <v>4750</v>
      </c>
      <c r="G143" s="72" t="n">
        <v>0.49</v>
      </c>
    </row>
    <row r="144">
      <c r="A144" s="69" t="n">
        <v>45498</v>
      </c>
      <c r="B144" s="22" t="inlineStr">
        <is>
          <t>South</t>
        </is>
      </c>
      <c r="C144" s="22" t="inlineStr">
        <is>
          <t>Product A</t>
        </is>
      </c>
      <c r="D144" s="22" t="inlineStr">
        <is>
          <t>David Lee</t>
        </is>
      </c>
      <c r="E144" s="24" t="n">
        <v>19</v>
      </c>
      <c r="F144" s="23" t="n">
        <v>4446</v>
      </c>
      <c r="G144" s="70" t="n">
        <v>0.5</v>
      </c>
    </row>
    <row r="145">
      <c r="A145" s="71" t="n">
        <v>45480</v>
      </c>
      <c r="B145" s="26" t="inlineStr">
        <is>
          <t>North</t>
        </is>
      </c>
      <c r="C145" s="26" t="inlineStr">
        <is>
          <t>Product B</t>
        </is>
      </c>
      <c r="D145" s="26" t="inlineStr">
        <is>
          <t>Henry Patel</t>
        </is>
      </c>
      <c r="E145" s="28" t="n">
        <v>21</v>
      </c>
      <c r="F145" s="27" t="n">
        <v>4221</v>
      </c>
      <c r="G145" s="72" t="n">
        <v>0.34</v>
      </c>
    </row>
    <row r="146">
      <c r="A146" s="69" t="n">
        <v>45485</v>
      </c>
      <c r="B146" s="22" t="inlineStr">
        <is>
          <t>East</t>
        </is>
      </c>
      <c r="C146" s="22" t="inlineStr">
        <is>
          <t>Product C</t>
        </is>
      </c>
      <c r="D146" s="22" t="inlineStr">
        <is>
          <t>David Lee</t>
        </is>
      </c>
      <c r="E146" s="24" t="n">
        <v>23</v>
      </c>
      <c r="F146" s="23" t="n">
        <v>1932</v>
      </c>
      <c r="G146" s="70" t="n">
        <v>0.41</v>
      </c>
    </row>
    <row r="147">
      <c r="A147" s="71" t="n">
        <v>45477</v>
      </c>
      <c r="B147" s="26" t="inlineStr">
        <is>
          <t>South</t>
        </is>
      </c>
      <c r="C147" s="26" t="inlineStr">
        <is>
          <t>Product E</t>
        </is>
      </c>
      <c r="D147" s="26" t="inlineStr">
        <is>
          <t>Alice Johnson</t>
        </is>
      </c>
      <c r="E147" s="28" t="n">
        <v>57</v>
      </c>
      <c r="F147" s="27" t="n">
        <v>7638</v>
      </c>
      <c r="G147" s="72" t="n">
        <v>0.45</v>
      </c>
    </row>
    <row r="148">
      <c r="A148" s="69" t="n">
        <v>45486</v>
      </c>
      <c r="B148" s="22" t="inlineStr">
        <is>
          <t>East</t>
        </is>
      </c>
      <c r="C148" s="22" t="inlineStr">
        <is>
          <t>Product C</t>
        </is>
      </c>
      <c r="D148" s="22" t="inlineStr">
        <is>
          <t>Frank Brown</t>
        </is>
      </c>
      <c r="E148" s="24" t="n">
        <v>16</v>
      </c>
      <c r="F148" s="23" t="n">
        <v>4176</v>
      </c>
      <c r="G148" s="70" t="n">
        <v>0.42</v>
      </c>
    </row>
    <row r="149">
      <c r="A149" s="71" t="n">
        <v>45484</v>
      </c>
      <c r="B149" s="26" t="inlineStr">
        <is>
          <t>East</t>
        </is>
      </c>
      <c r="C149" s="26" t="inlineStr">
        <is>
          <t>Product D</t>
        </is>
      </c>
      <c r="D149" s="26" t="inlineStr">
        <is>
          <t>Henry Patel</t>
        </is>
      </c>
      <c r="E149" s="28" t="n">
        <v>5</v>
      </c>
      <c r="F149" s="27" t="n">
        <v>1000</v>
      </c>
      <c r="G149" s="72" t="n">
        <v>0.26</v>
      </c>
    </row>
    <row r="150">
      <c r="A150" s="69" t="n">
        <v>45491</v>
      </c>
      <c r="B150" s="22" t="inlineStr">
        <is>
          <t>North</t>
        </is>
      </c>
      <c r="C150" s="22" t="inlineStr">
        <is>
          <t>Product C</t>
        </is>
      </c>
      <c r="D150" s="22" t="inlineStr">
        <is>
          <t>Bob Martinez</t>
        </is>
      </c>
      <c r="E150" s="24" t="n">
        <v>6</v>
      </c>
      <c r="F150" s="23" t="n">
        <v>1128</v>
      </c>
      <c r="G150" s="70" t="n">
        <v>0.43</v>
      </c>
    </row>
    <row r="151">
      <c r="A151" s="71" t="n">
        <v>45527</v>
      </c>
      <c r="B151" s="26" t="inlineStr">
        <is>
          <t>North</t>
        </is>
      </c>
      <c r="C151" s="26" t="inlineStr">
        <is>
          <t>Product B</t>
        </is>
      </c>
      <c r="D151" s="26" t="inlineStr">
        <is>
          <t>Frank Brown</t>
        </is>
      </c>
      <c r="E151" s="28" t="n">
        <v>27</v>
      </c>
      <c r="F151" s="27" t="n">
        <v>4671</v>
      </c>
      <c r="G151" s="72" t="n">
        <v>0.4</v>
      </c>
    </row>
    <row r="152">
      <c r="A152" s="69" t="n">
        <v>45526</v>
      </c>
      <c r="B152" s="22" t="inlineStr">
        <is>
          <t>East</t>
        </is>
      </c>
      <c r="C152" s="22" t="inlineStr">
        <is>
          <t>Product C</t>
        </is>
      </c>
      <c r="D152" s="22" t="inlineStr">
        <is>
          <t>Eva Singh</t>
        </is>
      </c>
      <c r="E152" s="24" t="n">
        <v>29</v>
      </c>
      <c r="F152" s="23" t="n">
        <v>3538</v>
      </c>
      <c r="G152" s="70" t="n">
        <v>0.4</v>
      </c>
    </row>
    <row r="153">
      <c r="A153" s="71" t="n">
        <v>45512</v>
      </c>
      <c r="B153" s="26" t="inlineStr">
        <is>
          <t>East</t>
        </is>
      </c>
      <c r="C153" s="26" t="inlineStr">
        <is>
          <t>Product E</t>
        </is>
      </c>
      <c r="D153" s="26" t="inlineStr">
        <is>
          <t>Bob Martinez</t>
        </is>
      </c>
      <c r="E153" s="28" t="n">
        <v>10</v>
      </c>
      <c r="F153" s="27" t="n">
        <v>2510</v>
      </c>
      <c r="G153" s="72" t="n">
        <v>0.37</v>
      </c>
    </row>
    <row r="154">
      <c r="A154" s="69" t="n">
        <v>45530</v>
      </c>
      <c r="B154" s="22" t="inlineStr">
        <is>
          <t>North</t>
        </is>
      </c>
      <c r="C154" s="22" t="inlineStr">
        <is>
          <t>Product B</t>
        </is>
      </c>
      <c r="D154" s="22" t="inlineStr">
        <is>
          <t>Bob Martinez</t>
        </is>
      </c>
      <c r="E154" s="24" t="n">
        <v>27</v>
      </c>
      <c r="F154" s="23" t="n">
        <v>4833</v>
      </c>
      <c r="G154" s="70" t="n">
        <v>0.47</v>
      </c>
    </row>
    <row r="155">
      <c r="A155" s="71" t="n">
        <v>45512</v>
      </c>
      <c r="B155" s="26" t="inlineStr">
        <is>
          <t>South</t>
        </is>
      </c>
      <c r="C155" s="26" t="inlineStr">
        <is>
          <t>Product A</t>
        </is>
      </c>
      <c r="D155" s="26" t="inlineStr">
        <is>
          <t>Clara Kim</t>
        </is>
      </c>
      <c r="E155" s="28" t="n">
        <v>40</v>
      </c>
      <c r="F155" s="27" t="n">
        <v>5760</v>
      </c>
      <c r="G155" s="72" t="n">
        <v>0.45</v>
      </c>
    </row>
    <row r="156">
      <c r="A156" s="69" t="n">
        <v>45517</v>
      </c>
      <c r="B156" s="22" t="inlineStr">
        <is>
          <t>South</t>
        </is>
      </c>
      <c r="C156" s="22" t="inlineStr">
        <is>
          <t>Product A</t>
        </is>
      </c>
      <c r="D156" s="22" t="inlineStr">
        <is>
          <t>Frank Brown</t>
        </is>
      </c>
      <c r="E156" s="24" t="n">
        <v>25</v>
      </c>
      <c r="F156" s="23" t="n">
        <v>3200</v>
      </c>
      <c r="G156" s="70" t="n">
        <v>0.34</v>
      </c>
    </row>
    <row r="157">
      <c r="A157" s="71" t="n">
        <v>45520</v>
      </c>
      <c r="B157" s="26" t="inlineStr">
        <is>
          <t>South</t>
        </is>
      </c>
      <c r="C157" s="26" t="inlineStr">
        <is>
          <t>Product B</t>
        </is>
      </c>
      <c r="D157" s="26" t="inlineStr">
        <is>
          <t>Alice Johnson</t>
        </is>
      </c>
      <c r="E157" s="28" t="n">
        <v>47</v>
      </c>
      <c r="F157" s="27" t="n">
        <v>4465</v>
      </c>
      <c r="G157" s="72" t="n">
        <v>0.29</v>
      </c>
    </row>
    <row r="158">
      <c r="A158" s="69" t="n">
        <v>45514</v>
      </c>
      <c r="B158" s="22" t="inlineStr">
        <is>
          <t>East</t>
        </is>
      </c>
      <c r="C158" s="22" t="inlineStr">
        <is>
          <t>Product D</t>
        </is>
      </c>
      <c r="D158" s="22" t="inlineStr">
        <is>
          <t>Clara Kim</t>
        </is>
      </c>
      <c r="E158" s="24" t="n">
        <v>8</v>
      </c>
      <c r="F158" s="23" t="n">
        <v>920</v>
      </c>
      <c r="G158" s="70" t="n">
        <v>0.32</v>
      </c>
    </row>
    <row r="159">
      <c r="A159" s="71" t="n">
        <v>45516</v>
      </c>
      <c r="B159" s="26" t="inlineStr">
        <is>
          <t>East</t>
        </is>
      </c>
      <c r="C159" s="26" t="inlineStr">
        <is>
          <t>Product B</t>
        </is>
      </c>
      <c r="D159" s="26" t="inlineStr">
        <is>
          <t>Frank Brown</t>
        </is>
      </c>
      <c r="E159" s="28" t="n">
        <v>20</v>
      </c>
      <c r="F159" s="27" t="n">
        <v>1900</v>
      </c>
      <c r="G159" s="72" t="n">
        <v>0.31</v>
      </c>
    </row>
    <row r="160">
      <c r="A160" s="69" t="n">
        <v>45518</v>
      </c>
      <c r="B160" s="22" t="inlineStr">
        <is>
          <t>North</t>
        </is>
      </c>
      <c r="C160" s="22" t="inlineStr">
        <is>
          <t>Product E</t>
        </is>
      </c>
      <c r="D160" s="22" t="inlineStr">
        <is>
          <t>Bob Martinez</t>
        </is>
      </c>
      <c r="E160" s="24" t="n">
        <v>56</v>
      </c>
      <c r="F160" s="23" t="n">
        <v>12488</v>
      </c>
      <c r="G160" s="70" t="n">
        <v>0.29</v>
      </c>
    </row>
    <row r="161">
      <c r="A161" s="71" t="n">
        <v>45525</v>
      </c>
      <c r="B161" s="26" t="inlineStr">
        <is>
          <t>South</t>
        </is>
      </c>
      <c r="C161" s="26" t="inlineStr">
        <is>
          <t>Product C</t>
        </is>
      </c>
      <c r="D161" s="26" t="inlineStr">
        <is>
          <t>Henry Patel</t>
        </is>
      </c>
      <c r="E161" s="28" t="n">
        <v>29</v>
      </c>
      <c r="F161" s="27" t="n">
        <v>4988</v>
      </c>
      <c r="G161" s="72" t="n">
        <v>0.28</v>
      </c>
    </row>
    <row r="162">
      <c r="A162" s="69" t="n">
        <v>45524</v>
      </c>
      <c r="B162" s="22" t="inlineStr">
        <is>
          <t>South</t>
        </is>
      </c>
      <c r="C162" s="22" t="inlineStr">
        <is>
          <t>Product B</t>
        </is>
      </c>
      <c r="D162" s="22" t="inlineStr">
        <is>
          <t>Grace Wu</t>
        </is>
      </c>
      <c r="E162" s="24" t="n">
        <v>57</v>
      </c>
      <c r="F162" s="23" t="n">
        <v>11970</v>
      </c>
      <c r="G162" s="70" t="n">
        <v>0.36</v>
      </c>
    </row>
    <row r="163">
      <c r="A163" s="71" t="n">
        <v>45518</v>
      </c>
      <c r="B163" s="26" t="inlineStr">
        <is>
          <t>South</t>
        </is>
      </c>
      <c r="C163" s="26" t="inlineStr">
        <is>
          <t>Product D</t>
        </is>
      </c>
      <c r="D163" s="26" t="inlineStr">
        <is>
          <t>David Lee</t>
        </is>
      </c>
      <c r="E163" s="28" t="n">
        <v>53</v>
      </c>
      <c r="F163" s="27" t="n">
        <v>8056</v>
      </c>
      <c r="G163" s="72" t="n">
        <v>0.38</v>
      </c>
    </row>
    <row r="164">
      <c r="A164" s="69" t="n">
        <v>45527</v>
      </c>
      <c r="B164" s="22" t="inlineStr">
        <is>
          <t>South</t>
        </is>
      </c>
      <c r="C164" s="22" t="inlineStr">
        <is>
          <t>Product C</t>
        </is>
      </c>
      <c r="D164" s="22" t="inlineStr">
        <is>
          <t>Henry Patel</t>
        </is>
      </c>
      <c r="E164" s="24" t="n">
        <v>55</v>
      </c>
      <c r="F164" s="23" t="n">
        <v>14740</v>
      </c>
      <c r="G164" s="70" t="n">
        <v>0.3</v>
      </c>
    </row>
    <row r="165">
      <c r="A165" s="71" t="n">
        <v>45522</v>
      </c>
      <c r="B165" s="26" t="inlineStr">
        <is>
          <t>North</t>
        </is>
      </c>
      <c r="C165" s="26" t="inlineStr">
        <is>
          <t>Product B</t>
        </is>
      </c>
      <c r="D165" s="26" t="inlineStr">
        <is>
          <t>Alice Johnson</t>
        </is>
      </c>
      <c r="E165" s="28" t="n">
        <v>17</v>
      </c>
      <c r="F165" s="27" t="n">
        <v>2533</v>
      </c>
      <c r="G165" s="72" t="n">
        <v>0.47</v>
      </c>
    </row>
    <row r="166">
      <c r="A166" s="69" t="n">
        <v>45518</v>
      </c>
      <c r="B166" s="22" t="inlineStr">
        <is>
          <t>North</t>
        </is>
      </c>
      <c r="C166" s="22" t="inlineStr">
        <is>
          <t>Product A</t>
        </is>
      </c>
      <c r="D166" s="22" t="inlineStr">
        <is>
          <t>Bob Martinez</t>
        </is>
      </c>
      <c r="E166" s="24" t="n">
        <v>15</v>
      </c>
      <c r="F166" s="23" t="n">
        <v>1260</v>
      </c>
      <c r="G166" s="70" t="n">
        <v>0.31</v>
      </c>
    </row>
    <row r="167">
      <c r="A167" s="71" t="n">
        <v>45508</v>
      </c>
      <c r="B167" s="26" t="inlineStr">
        <is>
          <t>North</t>
        </is>
      </c>
      <c r="C167" s="26" t="inlineStr">
        <is>
          <t>Product A</t>
        </is>
      </c>
      <c r="D167" s="26" t="inlineStr">
        <is>
          <t>Bob Martinez</t>
        </is>
      </c>
      <c r="E167" s="28" t="n">
        <v>6</v>
      </c>
      <c r="F167" s="27" t="n">
        <v>1590</v>
      </c>
      <c r="G167" s="72" t="n">
        <v>0.47</v>
      </c>
    </row>
    <row r="168">
      <c r="A168" s="69" t="n">
        <v>45513</v>
      </c>
      <c r="B168" s="22" t="inlineStr">
        <is>
          <t>East</t>
        </is>
      </c>
      <c r="C168" s="22" t="inlineStr">
        <is>
          <t>Product C</t>
        </is>
      </c>
      <c r="D168" s="22" t="inlineStr">
        <is>
          <t>Clara Kim</t>
        </is>
      </c>
      <c r="E168" s="24" t="n">
        <v>33</v>
      </c>
      <c r="F168" s="23" t="n">
        <v>5874</v>
      </c>
      <c r="G168" s="70" t="n">
        <v>0.4</v>
      </c>
    </row>
    <row r="169">
      <c r="A169" s="71" t="n">
        <v>45518</v>
      </c>
      <c r="B169" s="26" t="inlineStr">
        <is>
          <t>South</t>
        </is>
      </c>
      <c r="C169" s="26" t="inlineStr">
        <is>
          <t>Product D</t>
        </is>
      </c>
      <c r="D169" s="26" t="inlineStr">
        <is>
          <t>David Lee</t>
        </is>
      </c>
      <c r="E169" s="28" t="n">
        <v>37</v>
      </c>
      <c r="F169" s="27" t="n">
        <v>7326</v>
      </c>
      <c r="G169" s="72" t="n">
        <v>0.33</v>
      </c>
    </row>
    <row r="170">
      <c r="A170" s="69" t="n">
        <v>45507</v>
      </c>
      <c r="B170" s="22" t="inlineStr">
        <is>
          <t>East</t>
        </is>
      </c>
      <c r="C170" s="22" t="inlineStr">
        <is>
          <t>Product B</t>
        </is>
      </c>
      <c r="D170" s="22" t="inlineStr">
        <is>
          <t>Eva Singh</t>
        </is>
      </c>
      <c r="E170" s="24" t="n">
        <v>47</v>
      </c>
      <c r="F170" s="23" t="n">
        <v>13630</v>
      </c>
      <c r="G170" s="70" t="n">
        <v>0.33</v>
      </c>
    </row>
    <row r="171">
      <c r="A171" s="71" t="n">
        <v>45506</v>
      </c>
      <c r="B171" s="26" t="inlineStr">
        <is>
          <t>South</t>
        </is>
      </c>
      <c r="C171" s="26" t="inlineStr">
        <is>
          <t>Product B</t>
        </is>
      </c>
      <c r="D171" s="26" t="inlineStr">
        <is>
          <t>Alice Johnson</t>
        </is>
      </c>
      <c r="E171" s="28" t="n">
        <v>37</v>
      </c>
      <c r="F171" s="27" t="n">
        <v>8177</v>
      </c>
      <c r="G171" s="72" t="n">
        <v>0.33</v>
      </c>
    </row>
    <row r="172">
      <c r="A172" s="69" t="n">
        <v>45525</v>
      </c>
      <c r="B172" s="22" t="inlineStr">
        <is>
          <t>South</t>
        </is>
      </c>
      <c r="C172" s="22" t="inlineStr">
        <is>
          <t>Product E</t>
        </is>
      </c>
      <c r="D172" s="22" t="inlineStr">
        <is>
          <t>Henry Patel</t>
        </is>
      </c>
      <c r="E172" s="24" t="n">
        <v>12</v>
      </c>
      <c r="F172" s="23" t="n">
        <v>1788</v>
      </c>
      <c r="G172" s="70" t="n">
        <v>0.46</v>
      </c>
    </row>
    <row r="173">
      <c r="A173" s="71" t="n">
        <v>45518</v>
      </c>
      <c r="B173" s="26" t="inlineStr">
        <is>
          <t>South</t>
        </is>
      </c>
      <c r="C173" s="26" t="inlineStr">
        <is>
          <t>Product A</t>
        </is>
      </c>
      <c r="D173" s="26" t="inlineStr">
        <is>
          <t>Alice Johnson</t>
        </is>
      </c>
      <c r="E173" s="28" t="n">
        <v>15</v>
      </c>
      <c r="F173" s="27" t="n">
        <v>3045</v>
      </c>
      <c r="G173" s="72" t="n">
        <v>0.45</v>
      </c>
    </row>
    <row r="174">
      <c r="A174" s="69" t="n">
        <v>45542</v>
      </c>
      <c r="B174" s="22" t="inlineStr">
        <is>
          <t>South</t>
        </is>
      </c>
      <c r="C174" s="22" t="inlineStr">
        <is>
          <t>Product B</t>
        </is>
      </c>
      <c r="D174" s="22" t="inlineStr">
        <is>
          <t>Grace Wu</t>
        </is>
      </c>
      <c r="E174" s="24" t="n">
        <v>58</v>
      </c>
      <c r="F174" s="23" t="n">
        <v>5742</v>
      </c>
      <c r="G174" s="70" t="n">
        <v>0.4</v>
      </c>
    </row>
    <row r="175">
      <c r="A175" s="71" t="n">
        <v>45563</v>
      </c>
      <c r="B175" s="26" t="inlineStr">
        <is>
          <t>East</t>
        </is>
      </c>
      <c r="C175" s="26" t="inlineStr">
        <is>
          <t>Product A</t>
        </is>
      </c>
      <c r="D175" s="26" t="inlineStr">
        <is>
          <t>David Lee</t>
        </is>
      </c>
      <c r="E175" s="28" t="n">
        <v>18</v>
      </c>
      <c r="F175" s="27" t="n">
        <v>5274</v>
      </c>
      <c r="G175" s="72" t="n">
        <v>0.38</v>
      </c>
    </row>
    <row r="176">
      <c r="A176" s="69" t="n">
        <v>45553</v>
      </c>
      <c r="B176" s="22" t="inlineStr">
        <is>
          <t>North</t>
        </is>
      </c>
      <c r="C176" s="22" t="inlineStr">
        <is>
          <t>Product E</t>
        </is>
      </c>
      <c r="D176" s="22" t="inlineStr">
        <is>
          <t>Henry Patel</t>
        </is>
      </c>
      <c r="E176" s="24" t="n">
        <v>48</v>
      </c>
      <c r="F176" s="23" t="n">
        <v>11280</v>
      </c>
      <c r="G176" s="70" t="n">
        <v>0.36</v>
      </c>
    </row>
    <row r="177">
      <c r="A177" s="71" t="n">
        <v>45544</v>
      </c>
      <c r="B177" s="26" t="inlineStr">
        <is>
          <t>East</t>
        </is>
      </c>
      <c r="C177" s="26" t="inlineStr">
        <is>
          <t>Product E</t>
        </is>
      </c>
      <c r="D177" s="26" t="inlineStr">
        <is>
          <t>Henry Patel</t>
        </is>
      </c>
      <c r="E177" s="28" t="n">
        <v>13</v>
      </c>
      <c r="F177" s="27" t="n">
        <v>2899</v>
      </c>
      <c r="G177" s="72" t="n">
        <v>0.44</v>
      </c>
    </row>
    <row r="178">
      <c r="A178" s="69" t="n">
        <v>45550</v>
      </c>
      <c r="B178" s="22" t="inlineStr">
        <is>
          <t>East</t>
        </is>
      </c>
      <c r="C178" s="22" t="inlineStr">
        <is>
          <t>Product D</t>
        </is>
      </c>
      <c r="D178" s="22" t="inlineStr">
        <is>
          <t>David Lee</t>
        </is>
      </c>
      <c r="E178" s="24" t="n">
        <v>55</v>
      </c>
      <c r="F178" s="23" t="n">
        <v>11605</v>
      </c>
      <c r="G178" s="70" t="n">
        <v>0.4</v>
      </c>
    </row>
    <row r="179">
      <c r="A179" s="71" t="n">
        <v>45539</v>
      </c>
      <c r="B179" s="26" t="inlineStr">
        <is>
          <t>South</t>
        </is>
      </c>
      <c r="C179" s="26" t="inlineStr">
        <is>
          <t>Product A</t>
        </is>
      </c>
      <c r="D179" s="26" t="inlineStr">
        <is>
          <t>Bob Martinez</t>
        </is>
      </c>
      <c r="E179" s="28" t="n">
        <v>15</v>
      </c>
      <c r="F179" s="27" t="n">
        <v>3510</v>
      </c>
      <c r="G179" s="72" t="n">
        <v>0.31</v>
      </c>
    </row>
    <row r="180">
      <c r="A180" s="69" t="n">
        <v>45563</v>
      </c>
      <c r="B180" s="22" t="inlineStr">
        <is>
          <t>South</t>
        </is>
      </c>
      <c r="C180" s="22" t="inlineStr">
        <is>
          <t>Product E</t>
        </is>
      </c>
      <c r="D180" s="22" t="inlineStr">
        <is>
          <t>Grace Wu</t>
        </is>
      </c>
      <c r="E180" s="24" t="n">
        <v>53</v>
      </c>
      <c r="F180" s="23" t="n">
        <v>13144</v>
      </c>
      <c r="G180" s="70" t="n">
        <v>0.32</v>
      </c>
    </row>
    <row r="181">
      <c r="A181" s="71" t="n">
        <v>45536</v>
      </c>
      <c r="B181" s="26" t="inlineStr">
        <is>
          <t>East</t>
        </is>
      </c>
      <c r="C181" s="26" t="inlineStr">
        <is>
          <t>Product D</t>
        </is>
      </c>
      <c r="D181" s="26" t="inlineStr">
        <is>
          <t>Clara Kim</t>
        </is>
      </c>
      <c r="E181" s="28" t="n">
        <v>47</v>
      </c>
      <c r="F181" s="27" t="n">
        <v>8084</v>
      </c>
      <c r="G181" s="72" t="n">
        <v>0.47</v>
      </c>
    </row>
    <row r="182">
      <c r="A182" s="69" t="n">
        <v>45555</v>
      </c>
      <c r="B182" s="22" t="inlineStr">
        <is>
          <t>North</t>
        </is>
      </c>
      <c r="C182" s="22" t="inlineStr">
        <is>
          <t>Product A</t>
        </is>
      </c>
      <c r="D182" s="22" t="inlineStr">
        <is>
          <t>David Lee</t>
        </is>
      </c>
      <c r="E182" s="24" t="n">
        <v>53</v>
      </c>
      <c r="F182" s="23" t="n">
        <v>11130</v>
      </c>
      <c r="G182" s="70" t="n">
        <v>0.44</v>
      </c>
    </row>
    <row r="183">
      <c r="A183" s="71" t="n">
        <v>45547</v>
      </c>
      <c r="B183" s="26" t="inlineStr">
        <is>
          <t>South</t>
        </is>
      </c>
      <c r="C183" s="26" t="inlineStr">
        <is>
          <t>Product B</t>
        </is>
      </c>
      <c r="D183" s="26" t="inlineStr">
        <is>
          <t>Henry Patel</t>
        </is>
      </c>
      <c r="E183" s="28" t="n">
        <v>27</v>
      </c>
      <c r="F183" s="27" t="n">
        <v>6075</v>
      </c>
      <c r="G183" s="72" t="n">
        <v>0.46</v>
      </c>
    </row>
    <row r="184">
      <c r="A184" s="69" t="n">
        <v>45541</v>
      </c>
      <c r="B184" s="22" t="inlineStr">
        <is>
          <t>East</t>
        </is>
      </c>
      <c r="C184" s="22" t="inlineStr">
        <is>
          <t>Product C</t>
        </is>
      </c>
      <c r="D184" s="22" t="inlineStr">
        <is>
          <t>David Lee</t>
        </is>
      </c>
      <c r="E184" s="24" t="n">
        <v>18</v>
      </c>
      <c r="F184" s="23" t="n">
        <v>4518</v>
      </c>
      <c r="G184" s="70" t="n">
        <v>0.32</v>
      </c>
    </row>
    <row r="185">
      <c r="A185" s="71" t="n">
        <v>45543</v>
      </c>
      <c r="B185" s="26" t="inlineStr">
        <is>
          <t>North</t>
        </is>
      </c>
      <c r="C185" s="26" t="inlineStr">
        <is>
          <t>Product D</t>
        </is>
      </c>
      <c r="D185" s="26" t="inlineStr">
        <is>
          <t>Clara Kim</t>
        </is>
      </c>
      <c r="E185" s="28" t="n">
        <v>35</v>
      </c>
      <c r="F185" s="27" t="n">
        <v>5285</v>
      </c>
      <c r="G185" s="72" t="n">
        <v>0.41</v>
      </c>
    </row>
    <row r="186">
      <c r="A186" s="69" t="n">
        <v>45550</v>
      </c>
      <c r="B186" s="22" t="inlineStr">
        <is>
          <t>South</t>
        </is>
      </c>
      <c r="C186" s="22" t="inlineStr">
        <is>
          <t>Product B</t>
        </is>
      </c>
      <c r="D186" s="22" t="inlineStr">
        <is>
          <t>Eva Singh</t>
        </is>
      </c>
      <c r="E186" s="24" t="n">
        <v>53</v>
      </c>
      <c r="F186" s="23" t="n">
        <v>4611</v>
      </c>
      <c r="G186" s="70" t="n">
        <v>0.38</v>
      </c>
    </row>
    <row r="187">
      <c r="A187" s="71" t="n">
        <v>45544</v>
      </c>
      <c r="B187" s="26" t="inlineStr">
        <is>
          <t>North</t>
        </is>
      </c>
      <c r="C187" s="26" t="inlineStr">
        <is>
          <t>Product C</t>
        </is>
      </c>
      <c r="D187" s="26" t="inlineStr">
        <is>
          <t>Alice Johnson</t>
        </is>
      </c>
      <c r="E187" s="28" t="n">
        <v>54</v>
      </c>
      <c r="F187" s="27" t="n">
        <v>9504</v>
      </c>
      <c r="G187" s="72" t="n">
        <v>0.44</v>
      </c>
    </row>
    <row r="188">
      <c r="A188" s="69" t="n">
        <v>45555</v>
      </c>
      <c r="B188" s="22" t="inlineStr">
        <is>
          <t>East</t>
        </is>
      </c>
      <c r="C188" s="22" t="inlineStr">
        <is>
          <t>Product E</t>
        </is>
      </c>
      <c r="D188" s="22" t="inlineStr">
        <is>
          <t>Bob Martinez</t>
        </is>
      </c>
      <c r="E188" s="24" t="n">
        <v>13</v>
      </c>
      <c r="F188" s="23" t="n">
        <v>2327</v>
      </c>
      <c r="G188" s="70" t="n">
        <v>0.44</v>
      </c>
    </row>
    <row r="189">
      <c r="A189" s="71" t="n">
        <v>45563</v>
      </c>
      <c r="B189" s="26" t="inlineStr">
        <is>
          <t>South</t>
        </is>
      </c>
      <c r="C189" s="26" t="inlineStr">
        <is>
          <t>Product E</t>
        </is>
      </c>
      <c r="D189" s="26" t="inlineStr">
        <is>
          <t>Frank Brown</t>
        </is>
      </c>
      <c r="E189" s="28" t="n">
        <v>17</v>
      </c>
      <c r="F189" s="27" t="n">
        <v>2023</v>
      </c>
      <c r="G189" s="72" t="n">
        <v>0.46</v>
      </c>
    </row>
    <row r="190">
      <c r="A190" s="69" t="n">
        <v>45561</v>
      </c>
      <c r="B190" s="22" t="inlineStr">
        <is>
          <t>North</t>
        </is>
      </c>
      <c r="C190" s="22" t="inlineStr">
        <is>
          <t>Product D</t>
        </is>
      </c>
      <c r="D190" s="22" t="inlineStr">
        <is>
          <t>Bob Martinez</t>
        </is>
      </c>
      <c r="E190" s="24" t="n">
        <v>43</v>
      </c>
      <c r="F190" s="23" t="n">
        <v>8213</v>
      </c>
      <c r="G190" s="70" t="n">
        <v>0.33</v>
      </c>
    </row>
    <row r="191">
      <c r="A191" s="71" t="n">
        <v>45552</v>
      </c>
      <c r="B191" s="26" t="inlineStr">
        <is>
          <t>West</t>
        </is>
      </c>
      <c r="C191" s="26" t="inlineStr">
        <is>
          <t>Product E</t>
        </is>
      </c>
      <c r="D191" s="26" t="inlineStr">
        <is>
          <t>Henry Patel</t>
        </is>
      </c>
      <c r="E191" s="28" t="n">
        <v>5</v>
      </c>
      <c r="F191" s="27" t="n">
        <v>1180</v>
      </c>
      <c r="G191" s="72" t="n">
        <v>0.27</v>
      </c>
    </row>
    <row r="192">
      <c r="A192" s="69" t="n">
        <v>45554</v>
      </c>
      <c r="B192" s="22" t="inlineStr">
        <is>
          <t>East</t>
        </is>
      </c>
      <c r="C192" s="22" t="inlineStr">
        <is>
          <t>Product B</t>
        </is>
      </c>
      <c r="D192" s="22" t="inlineStr">
        <is>
          <t>Frank Brown</t>
        </is>
      </c>
      <c r="E192" s="24" t="n">
        <v>25</v>
      </c>
      <c r="F192" s="23" t="n">
        <v>2650</v>
      </c>
      <c r="G192" s="70" t="n">
        <v>0.42</v>
      </c>
    </row>
    <row r="193">
      <c r="A193" s="71" t="n">
        <v>45536</v>
      </c>
      <c r="B193" s="26" t="inlineStr">
        <is>
          <t>North</t>
        </is>
      </c>
      <c r="C193" s="26" t="inlineStr">
        <is>
          <t>Product B</t>
        </is>
      </c>
      <c r="D193" s="26" t="inlineStr">
        <is>
          <t>David Lee</t>
        </is>
      </c>
      <c r="E193" s="28" t="n">
        <v>50</v>
      </c>
      <c r="F193" s="27" t="n">
        <v>7600</v>
      </c>
      <c r="G193" s="72" t="n">
        <v>0.47</v>
      </c>
    </row>
    <row r="194">
      <c r="A194" s="69" t="n">
        <v>45591</v>
      </c>
      <c r="B194" s="22" t="inlineStr">
        <is>
          <t>South</t>
        </is>
      </c>
      <c r="C194" s="22" t="inlineStr">
        <is>
          <t>Product E</t>
        </is>
      </c>
      <c r="D194" s="22" t="inlineStr">
        <is>
          <t>Henry Patel</t>
        </is>
      </c>
      <c r="E194" s="24" t="n">
        <v>55</v>
      </c>
      <c r="F194" s="23" t="n">
        <v>5005</v>
      </c>
      <c r="G194" s="70" t="n">
        <v>0.33</v>
      </c>
    </row>
    <row r="195">
      <c r="A195" s="71" t="n">
        <v>45578</v>
      </c>
      <c r="B195" s="26" t="inlineStr">
        <is>
          <t>West</t>
        </is>
      </c>
      <c r="C195" s="26" t="inlineStr">
        <is>
          <t>Product C</t>
        </is>
      </c>
      <c r="D195" s="26" t="inlineStr">
        <is>
          <t>Alice Johnson</t>
        </is>
      </c>
      <c r="E195" s="28" t="n">
        <v>16</v>
      </c>
      <c r="F195" s="27" t="n">
        <v>2112</v>
      </c>
      <c r="G195" s="72" t="n">
        <v>0.4</v>
      </c>
    </row>
    <row r="196">
      <c r="A196" s="69" t="n">
        <v>45568</v>
      </c>
      <c r="B196" s="22" t="inlineStr">
        <is>
          <t>West</t>
        </is>
      </c>
      <c r="C196" s="22" t="inlineStr">
        <is>
          <t>Product B</t>
        </is>
      </c>
      <c r="D196" s="22" t="inlineStr">
        <is>
          <t>Grace Wu</t>
        </is>
      </c>
      <c r="E196" s="24" t="n">
        <v>49</v>
      </c>
      <c r="F196" s="23" t="n">
        <v>11711</v>
      </c>
      <c r="G196" s="70" t="n">
        <v>0.29</v>
      </c>
    </row>
    <row r="197">
      <c r="A197" s="71" t="n">
        <v>45584</v>
      </c>
      <c r="B197" s="26" t="inlineStr">
        <is>
          <t>West</t>
        </is>
      </c>
      <c r="C197" s="26" t="inlineStr">
        <is>
          <t>Product C</t>
        </is>
      </c>
      <c r="D197" s="26" t="inlineStr">
        <is>
          <t>Bob Martinez</t>
        </is>
      </c>
      <c r="E197" s="28" t="n">
        <v>10</v>
      </c>
      <c r="F197" s="27" t="n">
        <v>970</v>
      </c>
      <c r="G197" s="72" t="n">
        <v>0.46</v>
      </c>
    </row>
    <row r="198">
      <c r="A198" s="69" t="n">
        <v>45591</v>
      </c>
      <c r="B198" s="22" t="inlineStr">
        <is>
          <t>West</t>
        </is>
      </c>
      <c r="C198" s="22" t="inlineStr">
        <is>
          <t>Product B</t>
        </is>
      </c>
      <c r="D198" s="22" t="inlineStr">
        <is>
          <t>David Lee</t>
        </is>
      </c>
      <c r="E198" s="24" t="n">
        <v>57</v>
      </c>
      <c r="F198" s="23" t="n">
        <v>11913</v>
      </c>
      <c r="G198" s="70" t="n">
        <v>0.48</v>
      </c>
    </row>
    <row r="199">
      <c r="A199" s="71" t="n">
        <v>45568</v>
      </c>
      <c r="B199" s="26" t="inlineStr">
        <is>
          <t>West</t>
        </is>
      </c>
      <c r="C199" s="26" t="inlineStr">
        <is>
          <t>Product B</t>
        </is>
      </c>
      <c r="D199" s="26" t="inlineStr">
        <is>
          <t>Eva Singh</t>
        </is>
      </c>
      <c r="E199" s="28" t="n">
        <v>35</v>
      </c>
      <c r="F199" s="27" t="n">
        <v>4550</v>
      </c>
      <c r="G199" s="72" t="n">
        <v>0.47</v>
      </c>
    </row>
    <row r="200">
      <c r="A200" s="69" t="n">
        <v>45591</v>
      </c>
      <c r="B200" s="22" t="inlineStr">
        <is>
          <t>East</t>
        </is>
      </c>
      <c r="C200" s="22" t="inlineStr">
        <is>
          <t>Product E</t>
        </is>
      </c>
      <c r="D200" s="22" t="inlineStr">
        <is>
          <t>Grace Wu</t>
        </is>
      </c>
      <c r="E200" s="24" t="n">
        <v>42</v>
      </c>
      <c r="F200" s="23" t="n">
        <v>9828</v>
      </c>
      <c r="G200" s="70" t="n">
        <v>0.33</v>
      </c>
    </row>
    <row r="201">
      <c r="A201" s="71" t="n">
        <v>45571</v>
      </c>
      <c r="B201" s="26" t="inlineStr">
        <is>
          <t>West</t>
        </is>
      </c>
      <c r="C201" s="26" t="inlineStr">
        <is>
          <t>Product B</t>
        </is>
      </c>
      <c r="D201" s="26" t="inlineStr">
        <is>
          <t>David Lee</t>
        </is>
      </c>
      <c r="E201" s="28" t="n">
        <v>14</v>
      </c>
      <c r="F201" s="27" t="n">
        <v>2576</v>
      </c>
      <c r="G201" s="72" t="n">
        <v>0.37</v>
      </c>
    </row>
    <row r="202">
      <c r="A202" s="69" t="n">
        <v>45574</v>
      </c>
      <c r="B202" s="22" t="inlineStr">
        <is>
          <t>East</t>
        </is>
      </c>
      <c r="C202" s="22" t="inlineStr">
        <is>
          <t>Product D</t>
        </is>
      </c>
      <c r="D202" s="22" t="inlineStr">
        <is>
          <t>Frank Brown</t>
        </is>
      </c>
      <c r="E202" s="24" t="n">
        <v>9</v>
      </c>
      <c r="F202" s="23" t="n">
        <v>2142</v>
      </c>
      <c r="G202" s="70" t="n">
        <v>0.38</v>
      </c>
    </row>
    <row r="203">
      <c r="A203" s="71" t="n">
        <v>45572</v>
      </c>
      <c r="B203" s="26" t="inlineStr">
        <is>
          <t>West</t>
        </is>
      </c>
      <c r="C203" s="26" t="inlineStr">
        <is>
          <t>Product E</t>
        </is>
      </c>
      <c r="D203" s="26" t="inlineStr">
        <is>
          <t>Alice Johnson</t>
        </is>
      </c>
      <c r="E203" s="28" t="n">
        <v>33</v>
      </c>
      <c r="F203" s="27" t="n">
        <v>8349</v>
      </c>
      <c r="G203" s="72" t="n">
        <v>0.47</v>
      </c>
    </row>
    <row r="204">
      <c r="A204" s="69" t="n">
        <v>45583</v>
      </c>
      <c r="B204" s="22" t="inlineStr">
        <is>
          <t>North</t>
        </is>
      </c>
      <c r="C204" s="22" t="inlineStr">
        <is>
          <t>Product B</t>
        </is>
      </c>
      <c r="D204" s="22" t="inlineStr">
        <is>
          <t>Bob Martinez</t>
        </is>
      </c>
      <c r="E204" s="24" t="n">
        <v>33</v>
      </c>
      <c r="F204" s="23" t="n">
        <v>7623</v>
      </c>
      <c r="G204" s="70" t="n">
        <v>0.47</v>
      </c>
    </row>
    <row r="205">
      <c r="A205" s="71" t="n">
        <v>45579</v>
      </c>
      <c r="B205" s="26" t="inlineStr">
        <is>
          <t>West</t>
        </is>
      </c>
      <c r="C205" s="26" t="inlineStr">
        <is>
          <t>Product A</t>
        </is>
      </c>
      <c r="D205" s="26" t="inlineStr">
        <is>
          <t>David Lee</t>
        </is>
      </c>
      <c r="E205" s="28" t="n">
        <v>19</v>
      </c>
      <c r="F205" s="27" t="n">
        <v>1881</v>
      </c>
      <c r="G205" s="72" t="n">
        <v>0.31</v>
      </c>
    </row>
    <row r="206">
      <c r="A206" s="69" t="n">
        <v>45586</v>
      </c>
      <c r="B206" s="22" t="inlineStr">
        <is>
          <t>West</t>
        </is>
      </c>
      <c r="C206" s="22" t="inlineStr">
        <is>
          <t>Product B</t>
        </is>
      </c>
      <c r="D206" s="22" t="inlineStr">
        <is>
          <t>Clara Kim</t>
        </is>
      </c>
      <c r="E206" s="24" t="n">
        <v>46</v>
      </c>
      <c r="F206" s="23" t="n">
        <v>6302</v>
      </c>
      <c r="G206" s="70" t="n">
        <v>0.33</v>
      </c>
    </row>
    <row r="207">
      <c r="A207" s="71" t="n">
        <v>45586</v>
      </c>
      <c r="B207" s="26" t="inlineStr">
        <is>
          <t>East</t>
        </is>
      </c>
      <c r="C207" s="26" t="inlineStr">
        <is>
          <t>Product A</t>
        </is>
      </c>
      <c r="D207" s="26" t="inlineStr">
        <is>
          <t>Henry Patel</t>
        </is>
      </c>
      <c r="E207" s="28" t="n">
        <v>7</v>
      </c>
      <c r="F207" s="27" t="n">
        <v>1911</v>
      </c>
      <c r="G207" s="72" t="n">
        <v>0.3</v>
      </c>
    </row>
    <row r="208">
      <c r="A208" s="69" t="n">
        <v>45583</v>
      </c>
      <c r="B208" s="22" t="inlineStr">
        <is>
          <t>West</t>
        </is>
      </c>
      <c r="C208" s="22" t="inlineStr">
        <is>
          <t>Product B</t>
        </is>
      </c>
      <c r="D208" s="22" t="inlineStr">
        <is>
          <t>Alice Johnson</t>
        </is>
      </c>
      <c r="E208" s="24" t="n">
        <v>25</v>
      </c>
      <c r="F208" s="23" t="n">
        <v>5425</v>
      </c>
      <c r="G208" s="70" t="n">
        <v>0.33</v>
      </c>
    </row>
    <row r="209">
      <c r="A209" s="71" t="n">
        <v>45574</v>
      </c>
      <c r="B209" s="26" t="inlineStr">
        <is>
          <t>East</t>
        </is>
      </c>
      <c r="C209" s="26" t="inlineStr">
        <is>
          <t>Product A</t>
        </is>
      </c>
      <c r="D209" s="26" t="inlineStr">
        <is>
          <t>David Lee</t>
        </is>
      </c>
      <c r="E209" s="28" t="n">
        <v>35</v>
      </c>
      <c r="F209" s="27" t="n">
        <v>5425</v>
      </c>
      <c r="G209" s="72" t="n">
        <v>0.36</v>
      </c>
    </row>
    <row r="210">
      <c r="A210" s="69" t="n">
        <v>45585</v>
      </c>
      <c r="B210" s="22" t="inlineStr">
        <is>
          <t>West</t>
        </is>
      </c>
      <c r="C210" s="22" t="inlineStr">
        <is>
          <t>Product B</t>
        </is>
      </c>
      <c r="D210" s="22" t="inlineStr">
        <is>
          <t>Alice Johnson</t>
        </is>
      </c>
      <c r="E210" s="24" t="n">
        <v>9</v>
      </c>
      <c r="F210" s="23" t="n">
        <v>2610</v>
      </c>
      <c r="G210" s="70" t="n">
        <v>0.5</v>
      </c>
    </row>
    <row r="211">
      <c r="A211" s="71" t="n">
        <v>45584</v>
      </c>
      <c r="B211" s="26" t="inlineStr">
        <is>
          <t>North</t>
        </is>
      </c>
      <c r="C211" s="26" t="inlineStr">
        <is>
          <t>Product E</t>
        </is>
      </c>
      <c r="D211" s="26" t="inlineStr">
        <is>
          <t>Frank Brown</t>
        </is>
      </c>
      <c r="E211" s="28" t="n">
        <v>37</v>
      </c>
      <c r="F211" s="27" t="n">
        <v>10693</v>
      </c>
      <c r="G211" s="72" t="n">
        <v>0.32</v>
      </c>
    </row>
    <row r="212">
      <c r="A212" s="69" t="n">
        <v>45567</v>
      </c>
      <c r="B212" s="22" t="inlineStr">
        <is>
          <t>North</t>
        </is>
      </c>
      <c r="C212" s="22" t="inlineStr">
        <is>
          <t>Product D</t>
        </is>
      </c>
      <c r="D212" s="22" t="inlineStr">
        <is>
          <t>Clara Kim</t>
        </is>
      </c>
      <c r="E212" s="24" t="n">
        <v>15</v>
      </c>
      <c r="F212" s="23" t="n">
        <v>4500</v>
      </c>
      <c r="G212" s="70" t="n">
        <v>0.32</v>
      </c>
    </row>
    <row r="213">
      <c r="A213" s="71" t="n">
        <v>45586</v>
      </c>
      <c r="B213" s="26" t="inlineStr">
        <is>
          <t>West</t>
        </is>
      </c>
      <c r="C213" s="26" t="inlineStr">
        <is>
          <t>Product C</t>
        </is>
      </c>
      <c r="D213" s="26" t="inlineStr">
        <is>
          <t>Alice Johnson</t>
        </is>
      </c>
      <c r="E213" s="28" t="n">
        <v>17</v>
      </c>
      <c r="F213" s="27" t="n">
        <v>4267</v>
      </c>
      <c r="G213" s="72" t="n">
        <v>0.32</v>
      </c>
    </row>
    <row r="214">
      <c r="A214" s="69" t="n">
        <v>45581</v>
      </c>
      <c r="B214" s="22" t="inlineStr">
        <is>
          <t>West</t>
        </is>
      </c>
      <c r="C214" s="22" t="inlineStr">
        <is>
          <t>Product A</t>
        </is>
      </c>
      <c r="D214" s="22" t="inlineStr">
        <is>
          <t>David Lee</t>
        </is>
      </c>
      <c r="E214" s="24" t="n">
        <v>43</v>
      </c>
      <c r="F214" s="23" t="n">
        <v>4386</v>
      </c>
      <c r="G214" s="70" t="n">
        <v>0.37</v>
      </c>
    </row>
    <row r="215">
      <c r="A215" s="71" t="n">
        <v>45603</v>
      </c>
      <c r="B215" s="26" t="inlineStr">
        <is>
          <t>South</t>
        </is>
      </c>
      <c r="C215" s="26" t="inlineStr">
        <is>
          <t>Product D</t>
        </is>
      </c>
      <c r="D215" s="26" t="inlineStr">
        <is>
          <t>Frank Brown</t>
        </is>
      </c>
      <c r="E215" s="28" t="n">
        <v>12</v>
      </c>
      <c r="F215" s="27" t="n">
        <v>2412</v>
      </c>
      <c r="G215" s="72" t="n">
        <v>0.38</v>
      </c>
    </row>
    <row r="216">
      <c r="A216" s="69" t="n">
        <v>45611</v>
      </c>
      <c r="B216" s="22" t="inlineStr">
        <is>
          <t>South</t>
        </is>
      </c>
      <c r="C216" s="22" t="inlineStr">
        <is>
          <t>Product A</t>
        </is>
      </c>
      <c r="D216" s="22" t="inlineStr">
        <is>
          <t>Clara Kim</t>
        </is>
      </c>
      <c r="E216" s="24" t="n">
        <v>30</v>
      </c>
      <c r="F216" s="23" t="n">
        <v>4140</v>
      </c>
      <c r="G216" s="70" t="n">
        <v>0.45</v>
      </c>
    </row>
    <row r="217">
      <c r="A217" s="71" t="n">
        <v>45605</v>
      </c>
      <c r="B217" s="26" t="inlineStr">
        <is>
          <t>South</t>
        </is>
      </c>
      <c r="C217" s="26" t="inlineStr">
        <is>
          <t>Product B</t>
        </is>
      </c>
      <c r="D217" s="26" t="inlineStr">
        <is>
          <t>Alice Johnson</t>
        </is>
      </c>
      <c r="E217" s="28" t="n">
        <v>21</v>
      </c>
      <c r="F217" s="27" t="n">
        <v>3171</v>
      </c>
      <c r="G217" s="72" t="n">
        <v>0.34</v>
      </c>
    </row>
    <row r="218">
      <c r="A218" s="69" t="n">
        <v>45622</v>
      </c>
      <c r="B218" s="22" t="inlineStr">
        <is>
          <t>South</t>
        </is>
      </c>
      <c r="C218" s="22" t="inlineStr">
        <is>
          <t>Product D</t>
        </is>
      </c>
      <c r="D218" s="22" t="inlineStr">
        <is>
          <t>Henry Patel</t>
        </is>
      </c>
      <c r="E218" s="24" t="n">
        <v>41</v>
      </c>
      <c r="F218" s="23" t="n">
        <v>12300</v>
      </c>
      <c r="G218" s="70" t="n">
        <v>0.46</v>
      </c>
    </row>
    <row r="219">
      <c r="A219" s="71" t="n">
        <v>45600</v>
      </c>
      <c r="B219" s="26" t="inlineStr">
        <is>
          <t>West</t>
        </is>
      </c>
      <c r="C219" s="26" t="inlineStr">
        <is>
          <t>Product A</t>
        </is>
      </c>
      <c r="D219" s="26" t="inlineStr">
        <is>
          <t>Frank Brown</t>
        </is>
      </c>
      <c r="E219" s="28" t="n">
        <v>19</v>
      </c>
      <c r="F219" s="27" t="n">
        <v>4655</v>
      </c>
      <c r="G219" s="72" t="n">
        <v>0.45</v>
      </c>
    </row>
    <row r="220">
      <c r="A220" s="69" t="n">
        <v>45607</v>
      </c>
      <c r="B220" s="22" t="inlineStr">
        <is>
          <t>North</t>
        </is>
      </c>
      <c r="C220" s="22" t="inlineStr">
        <is>
          <t>Product A</t>
        </is>
      </c>
      <c r="D220" s="22" t="inlineStr">
        <is>
          <t>Clara Kim</t>
        </is>
      </c>
      <c r="E220" s="24" t="n">
        <v>32</v>
      </c>
      <c r="F220" s="23" t="n">
        <v>6752</v>
      </c>
      <c r="G220" s="70" t="n">
        <v>0.25</v>
      </c>
    </row>
    <row r="221">
      <c r="A221" s="71" t="n">
        <v>45613</v>
      </c>
      <c r="B221" s="26" t="inlineStr">
        <is>
          <t>West</t>
        </is>
      </c>
      <c r="C221" s="26" t="inlineStr">
        <is>
          <t>Product D</t>
        </is>
      </c>
      <c r="D221" s="26" t="inlineStr">
        <is>
          <t>Frank Brown</t>
        </is>
      </c>
      <c r="E221" s="28" t="n">
        <v>60</v>
      </c>
      <c r="F221" s="27" t="n">
        <v>8280</v>
      </c>
      <c r="G221" s="72" t="n">
        <v>0.44</v>
      </c>
    </row>
    <row r="222">
      <c r="A222" s="69" t="n">
        <v>45599</v>
      </c>
      <c r="B222" s="22" t="inlineStr">
        <is>
          <t>East</t>
        </is>
      </c>
      <c r="C222" s="22" t="inlineStr">
        <is>
          <t>Product E</t>
        </is>
      </c>
      <c r="D222" s="22" t="inlineStr">
        <is>
          <t>Clara Kim</t>
        </is>
      </c>
      <c r="E222" s="24" t="n">
        <v>44</v>
      </c>
      <c r="F222" s="23" t="n">
        <v>5104</v>
      </c>
      <c r="G222" s="70" t="n">
        <v>0.44</v>
      </c>
    </row>
    <row r="223">
      <c r="A223" s="71" t="n">
        <v>45622</v>
      </c>
      <c r="B223" s="26" t="inlineStr">
        <is>
          <t>North</t>
        </is>
      </c>
      <c r="C223" s="26" t="inlineStr">
        <is>
          <t>Product E</t>
        </is>
      </c>
      <c r="D223" s="26" t="inlineStr">
        <is>
          <t>Frank Brown</t>
        </is>
      </c>
      <c r="E223" s="28" t="n">
        <v>30</v>
      </c>
      <c r="F223" s="27" t="n">
        <v>2670</v>
      </c>
      <c r="G223" s="72" t="n">
        <v>0.33</v>
      </c>
    </row>
    <row r="224">
      <c r="A224" s="69" t="n">
        <v>45606</v>
      </c>
      <c r="B224" s="22" t="inlineStr">
        <is>
          <t>East</t>
        </is>
      </c>
      <c r="C224" s="22" t="inlineStr">
        <is>
          <t>Product B</t>
        </is>
      </c>
      <c r="D224" s="22" t="inlineStr">
        <is>
          <t>Bob Martinez</t>
        </is>
      </c>
      <c r="E224" s="24" t="n">
        <v>20</v>
      </c>
      <c r="F224" s="23" t="n">
        <v>4960</v>
      </c>
      <c r="G224" s="70" t="n">
        <v>0.26</v>
      </c>
    </row>
    <row r="225">
      <c r="A225" s="71" t="n">
        <v>45600</v>
      </c>
      <c r="B225" s="26" t="inlineStr">
        <is>
          <t>North</t>
        </is>
      </c>
      <c r="C225" s="26" t="inlineStr">
        <is>
          <t>Product E</t>
        </is>
      </c>
      <c r="D225" s="26" t="inlineStr">
        <is>
          <t>Grace Wu</t>
        </is>
      </c>
      <c r="E225" s="28" t="n">
        <v>38</v>
      </c>
      <c r="F225" s="27" t="n">
        <v>4066</v>
      </c>
      <c r="G225" s="72" t="n">
        <v>0.33</v>
      </c>
    </row>
    <row r="226">
      <c r="A226" s="69" t="n">
        <v>45600</v>
      </c>
      <c r="B226" s="22" t="inlineStr">
        <is>
          <t>West</t>
        </is>
      </c>
      <c r="C226" s="22" t="inlineStr">
        <is>
          <t>Product B</t>
        </is>
      </c>
      <c r="D226" s="22" t="inlineStr">
        <is>
          <t>Clara Kim</t>
        </is>
      </c>
      <c r="E226" s="24" t="n">
        <v>52</v>
      </c>
      <c r="F226" s="23" t="n">
        <v>5928</v>
      </c>
      <c r="G226" s="70" t="n">
        <v>0.45</v>
      </c>
    </row>
    <row r="227">
      <c r="A227" s="71" t="n">
        <v>45608</v>
      </c>
      <c r="B227" s="26" t="inlineStr">
        <is>
          <t>North</t>
        </is>
      </c>
      <c r="C227" s="26" t="inlineStr">
        <is>
          <t>Product C</t>
        </is>
      </c>
      <c r="D227" s="26" t="inlineStr">
        <is>
          <t>Eva Singh</t>
        </is>
      </c>
      <c r="E227" s="28" t="n">
        <v>58</v>
      </c>
      <c r="F227" s="27" t="n">
        <v>11020</v>
      </c>
      <c r="G227" s="72" t="n">
        <v>0.27</v>
      </c>
    </row>
    <row r="228">
      <c r="A228" s="69" t="n">
        <v>45623</v>
      </c>
      <c r="B228" s="22" t="inlineStr">
        <is>
          <t>West</t>
        </is>
      </c>
      <c r="C228" s="22" t="inlineStr">
        <is>
          <t>Product B</t>
        </is>
      </c>
      <c r="D228" s="22" t="inlineStr">
        <is>
          <t>Frank Brown</t>
        </is>
      </c>
      <c r="E228" s="24" t="n">
        <v>46</v>
      </c>
      <c r="F228" s="23" t="n">
        <v>12006</v>
      </c>
      <c r="G228" s="70" t="n">
        <v>0.39</v>
      </c>
    </row>
    <row r="229">
      <c r="A229" s="71" t="n">
        <v>45605</v>
      </c>
      <c r="B229" s="26" t="inlineStr">
        <is>
          <t>West</t>
        </is>
      </c>
      <c r="C229" s="26" t="inlineStr">
        <is>
          <t>Product A</t>
        </is>
      </c>
      <c r="D229" s="26" t="inlineStr">
        <is>
          <t>Alice Johnson</t>
        </is>
      </c>
      <c r="E229" s="28" t="n">
        <v>15</v>
      </c>
      <c r="F229" s="27" t="n">
        <v>3525</v>
      </c>
      <c r="G229" s="72" t="n">
        <v>0.26</v>
      </c>
    </row>
    <row r="230">
      <c r="A230" s="69" t="n">
        <v>45604</v>
      </c>
      <c r="B230" s="22" t="inlineStr">
        <is>
          <t>East</t>
        </is>
      </c>
      <c r="C230" s="22" t="inlineStr">
        <is>
          <t>Product E</t>
        </is>
      </c>
      <c r="D230" s="22" t="inlineStr">
        <is>
          <t>Henry Patel</t>
        </is>
      </c>
      <c r="E230" s="24" t="n">
        <v>38</v>
      </c>
      <c r="F230" s="23" t="n">
        <v>5130</v>
      </c>
      <c r="G230" s="70" t="n">
        <v>0.47</v>
      </c>
    </row>
    <row r="231">
      <c r="A231" s="71" t="n">
        <v>45617</v>
      </c>
      <c r="B231" s="26" t="inlineStr">
        <is>
          <t>West</t>
        </is>
      </c>
      <c r="C231" s="26" t="inlineStr">
        <is>
          <t>Product D</t>
        </is>
      </c>
      <c r="D231" s="26" t="inlineStr">
        <is>
          <t>Clara Kim</t>
        </is>
      </c>
      <c r="E231" s="28" t="n">
        <v>17</v>
      </c>
      <c r="F231" s="27" t="n">
        <v>3519</v>
      </c>
      <c r="G231" s="72" t="n">
        <v>0.4</v>
      </c>
    </row>
    <row r="232">
      <c r="A232" s="69" t="n">
        <v>45606</v>
      </c>
      <c r="B232" s="22" t="inlineStr">
        <is>
          <t>West</t>
        </is>
      </c>
      <c r="C232" s="22" t="inlineStr">
        <is>
          <t>Product A</t>
        </is>
      </c>
      <c r="D232" s="22" t="inlineStr">
        <is>
          <t>Alice Johnson</t>
        </is>
      </c>
      <c r="E232" s="24" t="n">
        <v>42</v>
      </c>
      <c r="F232" s="23" t="n">
        <v>3864</v>
      </c>
      <c r="G232" s="70" t="n">
        <v>0.33</v>
      </c>
    </row>
    <row r="233">
      <c r="A233" s="71" t="n">
        <v>45605</v>
      </c>
      <c r="B233" s="26" t="inlineStr">
        <is>
          <t>South</t>
        </is>
      </c>
      <c r="C233" s="26" t="inlineStr">
        <is>
          <t>Product C</t>
        </is>
      </c>
      <c r="D233" s="26" t="inlineStr">
        <is>
          <t>Eva Singh</t>
        </is>
      </c>
      <c r="E233" s="28" t="n">
        <v>51</v>
      </c>
      <c r="F233" s="27" t="n">
        <v>5253</v>
      </c>
      <c r="G233" s="72" t="n">
        <v>0.48</v>
      </c>
    </row>
    <row r="234">
      <c r="A234" s="69" t="n">
        <v>45615</v>
      </c>
      <c r="B234" s="22" t="inlineStr">
        <is>
          <t>North</t>
        </is>
      </c>
      <c r="C234" s="22" t="inlineStr">
        <is>
          <t>Product A</t>
        </is>
      </c>
      <c r="D234" s="22" t="inlineStr">
        <is>
          <t>Frank Brown</t>
        </is>
      </c>
      <c r="E234" s="24" t="n">
        <v>55</v>
      </c>
      <c r="F234" s="23" t="n">
        <v>12430</v>
      </c>
      <c r="G234" s="70" t="n">
        <v>0.33</v>
      </c>
    </row>
    <row r="235">
      <c r="A235" s="71" t="n">
        <v>45632</v>
      </c>
      <c r="B235" s="26" t="inlineStr">
        <is>
          <t>South</t>
        </is>
      </c>
      <c r="C235" s="26" t="inlineStr">
        <is>
          <t>Product D</t>
        </is>
      </c>
      <c r="D235" s="26" t="inlineStr">
        <is>
          <t>Clara Kim</t>
        </is>
      </c>
      <c r="E235" s="28" t="n">
        <v>18</v>
      </c>
      <c r="F235" s="27" t="n">
        <v>1656</v>
      </c>
      <c r="G235" s="72" t="n">
        <v>0.4</v>
      </c>
    </row>
    <row r="236">
      <c r="A236" s="69" t="n">
        <v>45650</v>
      </c>
      <c r="B236" s="22" t="inlineStr">
        <is>
          <t>North</t>
        </is>
      </c>
      <c r="C236" s="22" t="inlineStr">
        <is>
          <t>Product C</t>
        </is>
      </c>
      <c r="D236" s="22" t="inlineStr">
        <is>
          <t>Alice Johnson</t>
        </is>
      </c>
      <c r="E236" s="24" t="n">
        <v>32</v>
      </c>
      <c r="F236" s="23" t="n">
        <v>6208</v>
      </c>
      <c r="G236" s="70" t="n">
        <v>0.31</v>
      </c>
    </row>
    <row r="237">
      <c r="A237" s="71" t="n">
        <v>45638</v>
      </c>
      <c r="B237" s="26" t="inlineStr">
        <is>
          <t>South</t>
        </is>
      </c>
      <c r="C237" s="26" t="inlineStr">
        <is>
          <t>Product E</t>
        </is>
      </c>
      <c r="D237" s="26" t="inlineStr">
        <is>
          <t>David Lee</t>
        </is>
      </c>
      <c r="E237" s="28" t="n">
        <v>54</v>
      </c>
      <c r="F237" s="27" t="n">
        <v>10098</v>
      </c>
      <c r="G237" s="72" t="n">
        <v>0.31</v>
      </c>
    </row>
    <row r="238">
      <c r="A238" s="69" t="n">
        <v>45653</v>
      </c>
      <c r="B238" s="22" t="inlineStr">
        <is>
          <t>East</t>
        </is>
      </c>
      <c r="C238" s="22" t="inlineStr">
        <is>
          <t>Product B</t>
        </is>
      </c>
      <c r="D238" s="22" t="inlineStr">
        <is>
          <t>Bob Martinez</t>
        </is>
      </c>
      <c r="E238" s="24" t="n">
        <v>26</v>
      </c>
      <c r="F238" s="23" t="n">
        <v>2418</v>
      </c>
      <c r="G238" s="70" t="n">
        <v>0.25</v>
      </c>
    </row>
    <row r="239">
      <c r="A239" s="71" t="n">
        <v>45629</v>
      </c>
      <c r="B239" s="26" t="inlineStr">
        <is>
          <t>North</t>
        </is>
      </c>
      <c r="C239" s="26" t="inlineStr">
        <is>
          <t>Product E</t>
        </is>
      </c>
      <c r="D239" s="26" t="inlineStr">
        <is>
          <t>Alice Johnson</t>
        </is>
      </c>
      <c r="E239" s="28" t="n">
        <v>58</v>
      </c>
      <c r="F239" s="27" t="n">
        <v>14442</v>
      </c>
      <c r="G239" s="72" t="n">
        <v>0.35</v>
      </c>
    </row>
    <row r="240">
      <c r="A240" s="69" t="n">
        <v>45634</v>
      </c>
      <c r="B240" s="22" t="inlineStr">
        <is>
          <t>North</t>
        </is>
      </c>
      <c r="C240" s="22" t="inlineStr">
        <is>
          <t>Product E</t>
        </is>
      </c>
      <c r="D240" s="22" t="inlineStr">
        <is>
          <t>David Lee</t>
        </is>
      </c>
      <c r="E240" s="24" t="n">
        <v>27</v>
      </c>
      <c r="F240" s="23" t="n">
        <v>5211</v>
      </c>
      <c r="G240" s="70" t="n">
        <v>0.47</v>
      </c>
    </row>
    <row r="241">
      <c r="A241" s="71" t="n">
        <v>45640</v>
      </c>
      <c r="B241" s="26" t="inlineStr">
        <is>
          <t>South</t>
        </is>
      </c>
      <c r="C241" s="26" t="inlineStr">
        <is>
          <t>Product C</t>
        </is>
      </c>
      <c r="D241" s="26" t="inlineStr">
        <is>
          <t>Grace Wu</t>
        </is>
      </c>
      <c r="E241" s="28" t="n">
        <v>17</v>
      </c>
      <c r="F241" s="27" t="n">
        <v>3298</v>
      </c>
      <c r="G241" s="72" t="n">
        <v>0.33</v>
      </c>
    </row>
    <row r="242">
      <c r="A242" s="69" t="n">
        <v>45641</v>
      </c>
      <c r="B242" s="22" t="inlineStr">
        <is>
          <t>East</t>
        </is>
      </c>
      <c r="C242" s="22" t="inlineStr">
        <is>
          <t>Product C</t>
        </is>
      </c>
      <c r="D242" s="22" t="inlineStr">
        <is>
          <t>Henry Patel</t>
        </is>
      </c>
      <c r="E242" s="24" t="n">
        <v>59</v>
      </c>
      <c r="F242" s="23" t="n">
        <v>16579</v>
      </c>
      <c r="G242" s="70" t="n">
        <v>0.4</v>
      </c>
    </row>
    <row r="243">
      <c r="A243" s="71" t="n">
        <v>45643</v>
      </c>
      <c r="B243" s="26" t="inlineStr">
        <is>
          <t>South</t>
        </is>
      </c>
      <c r="C243" s="26" t="inlineStr">
        <is>
          <t>Product D</t>
        </is>
      </c>
      <c r="D243" s="26" t="inlineStr">
        <is>
          <t>Clara Kim</t>
        </is>
      </c>
      <c r="E243" s="28" t="n">
        <v>28</v>
      </c>
      <c r="F243" s="27" t="n">
        <v>3780</v>
      </c>
      <c r="G243" s="72" t="n">
        <v>0.39</v>
      </c>
    </row>
    <row r="244">
      <c r="A244" s="69" t="n">
        <v>45644</v>
      </c>
      <c r="B244" s="22" t="inlineStr">
        <is>
          <t>West</t>
        </is>
      </c>
      <c r="C244" s="22" t="inlineStr">
        <is>
          <t>Product C</t>
        </is>
      </c>
      <c r="D244" s="22" t="inlineStr">
        <is>
          <t>Henry Patel</t>
        </is>
      </c>
      <c r="E244" s="24" t="n">
        <v>38</v>
      </c>
      <c r="F244" s="23" t="n">
        <v>5890</v>
      </c>
      <c r="G244" s="70" t="n">
        <v>0.33</v>
      </c>
    </row>
    <row r="245">
      <c r="A245" s="71" t="n">
        <v>45636</v>
      </c>
      <c r="B245" s="26" t="inlineStr">
        <is>
          <t>East</t>
        </is>
      </c>
      <c r="C245" s="26" t="inlineStr">
        <is>
          <t>Product B</t>
        </is>
      </c>
      <c r="D245" s="26" t="inlineStr">
        <is>
          <t>Eva Singh</t>
        </is>
      </c>
      <c r="E245" s="28" t="n">
        <v>16</v>
      </c>
      <c r="F245" s="27" t="n">
        <v>2448</v>
      </c>
      <c r="G245" s="72" t="n">
        <v>0.27</v>
      </c>
    </row>
    <row r="246">
      <c r="A246" s="69" t="n">
        <v>45628</v>
      </c>
      <c r="B246" s="22" t="inlineStr">
        <is>
          <t>East</t>
        </is>
      </c>
      <c r="C246" s="22" t="inlineStr">
        <is>
          <t>Product D</t>
        </is>
      </c>
      <c r="D246" s="22" t="inlineStr">
        <is>
          <t>David Lee</t>
        </is>
      </c>
      <c r="E246" s="24" t="n">
        <v>54</v>
      </c>
      <c r="F246" s="23" t="n">
        <v>10476</v>
      </c>
      <c r="G246" s="70" t="n">
        <v>0.47</v>
      </c>
    </row>
    <row r="247">
      <c r="A247" s="71" t="n">
        <v>45654</v>
      </c>
      <c r="B247" s="26" t="inlineStr">
        <is>
          <t>North</t>
        </is>
      </c>
      <c r="C247" s="26" t="inlineStr">
        <is>
          <t>Product D</t>
        </is>
      </c>
      <c r="D247" s="26" t="inlineStr">
        <is>
          <t>Clara Kim</t>
        </is>
      </c>
      <c r="E247" s="28" t="n">
        <v>30</v>
      </c>
      <c r="F247" s="27" t="n">
        <v>3120</v>
      </c>
      <c r="G247" s="72" t="n">
        <v>0.5</v>
      </c>
    </row>
    <row r="248">
      <c r="A248" s="69" t="n">
        <v>45646</v>
      </c>
      <c r="B248" s="22" t="inlineStr">
        <is>
          <t>West</t>
        </is>
      </c>
      <c r="C248" s="22" t="inlineStr">
        <is>
          <t>Product B</t>
        </is>
      </c>
      <c r="D248" s="22" t="inlineStr">
        <is>
          <t>Alice Johnson</t>
        </is>
      </c>
      <c r="E248" s="24" t="n">
        <v>6</v>
      </c>
      <c r="F248" s="23" t="n">
        <v>1338</v>
      </c>
      <c r="G248" s="70" t="n">
        <v>0.37</v>
      </c>
    </row>
    <row r="249">
      <c r="A249" s="71" t="n">
        <v>45644</v>
      </c>
      <c r="B249" s="26" t="inlineStr">
        <is>
          <t>South</t>
        </is>
      </c>
      <c r="C249" s="26" t="inlineStr">
        <is>
          <t>Product A</t>
        </is>
      </c>
      <c r="D249" s="26" t="inlineStr">
        <is>
          <t>Bob Martinez</t>
        </is>
      </c>
      <c r="E249" s="28" t="n">
        <v>8</v>
      </c>
      <c r="F249" s="27" t="n">
        <v>1280</v>
      </c>
      <c r="G249" s="72" t="n">
        <v>0.37</v>
      </c>
    </row>
    <row r="250">
      <c r="A250" s="69" t="n">
        <v>45634</v>
      </c>
      <c r="B250" s="22" t="inlineStr">
        <is>
          <t>East</t>
        </is>
      </c>
      <c r="C250" s="22" t="inlineStr">
        <is>
          <t>Product B</t>
        </is>
      </c>
      <c r="D250" s="22" t="inlineStr">
        <is>
          <t>Eva Singh</t>
        </is>
      </c>
      <c r="E250" s="24" t="n">
        <v>49</v>
      </c>
      <c r="F250" s="23" t="n">
        <v>8036</v>
      </c>
      <c r="G250" s="70" t="n">
        <v>0.4</v>
      </c>
    </row>
    <row r="251">
      <c r="A251" s="71" t="n">
        <v>45639</v>
      </c>
      <c r="B251" s="26" t="inlineStr">
        <is>
          <t>North</t>
        </is>
      </c>
      <c r="C251" s="26" t="inlineStr">
        <is>
          <t>Product A</t>
        </is>
      </c>
      <c r="D251" s="26" t="inlineStr">
        <is>
          <t>Bob Martinez</t>
        </is>
      </c>
      <c r="E251" s="28" t="n">
        <v>34</v>
      </c>
      <c r="F251" s="27" t="n">
        <v>4216</v>
      </c>
      <c r="G251" s="72" t="n">
        <v>0.47</v>
      </c>
    </row>
    <row r="252">
      <c r="A252" s="69" t="n">
        <v>45633</v>
      </c>
      <c r="B252" s="22" t="inlineStr">
        <is>
          <t>South</t>
        </is>
      </c>
      <c r="C252" s="22" t="inlineStr">
        <is>
          <t>Product A</t>
        </is>
      </c>
      <c r="D252" s="22" t="inlineStr">
        <is>
          <t>Clara Kim</t>
        </is>
      </c>
      <c r="E252" s="24" t="n">
        <v>40</v>
      </c>
      <c r="F252" s="23" t="n">
        <v>8640</v>
      </c>
      <c r="G252" s="70" t="n">
        <v>0.47</v>
      </c>
    </row>
    <row r="253">
      <c r="A253" s="71" t="n">
        <v>45643</v>
      </c>
      <c r="B253" s="26" t="inlineStr">
        <is>
          <t>South</t>
        </is>
      </c>
      <c r="C253" s="26" t="inlineStr">
        <is>
          <t>Product C</t>
        </is>
      </c>
      <c r="D253" s="26" t="inlineStr">
        <is>
          <t>Clara Kim</t>
        </is>
      </c>
      <c r="E253" s="28" t="n">
        <v>23</v>
      </c>
      <c r="F253" s="27" t="n">
        <v>2921</v>
      </c>
      <c r="G253" s="72" t="n">
        <v>0.46</v>
      </c>
    </row>
    <row r="254">
      <c r="A254" s="69" t="n">
        <v>45651</v>
      </c>
      <c r="B254" s="22" t="inlineStr">
        <is>
          <t>North</t>
        </is>
      </c>
      <c r="C254" s="22" t="inlineStr">
        <is>
          <t>Product C</t>
        </is>
      </c>
      <c r="D254" s="22" t="inlineStr">
        <is>
          <t>Frank Brown</t>
        </is>
      </c>
      <c r="E254" s="24" t="n">
        <v>21</v>
      </c>
      <c r="F254" s="23" t="n">
        <v>2289</v>
      </c>
      <c r="G254" s="70" t="n">
        <v>0.27</v>
      </c>
    </row>
    <row r="255">
      <c r="A255" s="71" t="n">
        <v>45643</v>
      </c>
      <c r="B255" s="26" t="inlineStr">
        <is>
          <t>East</t>
        </is>
      </c>
      <c r="C255" s="26" t="inlineStr">
        <is>
          <t>Product C</t>
        </is>
      </c>
      <c r="D255" s="26" t="inlineStr">
        <is>
          <t>Grace Wu</t>
        </is>
      </c>
      <c r="E255" s="28" t="n">
        <v>45</v>
      </c>
      <c r="F255" s="27" t="n">
        <v>5760</v>
      </c>
      <c r="G255" s="72" t="n">
        <v>0.33</v>
      </c>
    </row>
  </sheetData>
  <autoFilter ref="A1:G255"/>
  <conditionalFormatting sqref="F2:F255">
    <cfRule type="colorScale" priority="1">
      <colorScale>
        <cfvo type="min"/>
        <cfvo type="percentile" val="50"/>
        <cfvo type="max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2026-05-20T06:55:41Z</dcterms:created>
  <dcterms:modified xmlns:dcterms="http://purl.org/dc/terms/" xmlns:xsi="http://www.w3.org/2001/XMLSchema-instance" xsi:type="dcterms:W3CDTF">2026-05-20T06:55:41Z</dcterms:modified>
</cp:coreProperties>
</file>